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franc\UfbaAulas1\EstratEconomicaEmpresas\Presencial\"/>
    </mc:Choice>
  </mc:AlternateContent>
  <xr:revisionPtr revIDLastSave="0" documentId="13_ncr:1_{033E8EC5-BAD2-4340-8FD2-1C719F82A240}" xr6:coauthVersionLast="47" xr6:coauthVersionMax="47" xr10:uidLastSave="{00000000-0000-0000-0000-000000000000}"/>
  <bookViews>
    <workbookView xWindow="-120" yWindow="-120" windowWidth="20730" windowHeight="11160" xr2:uid="{73E25DE5-11E5-4D3A-812A-52595455F29E}"/>
  </bookViews>
  <sheets>
    <sheet name="Planilha1" sheetId="1" r:id="rId1"/>
  </sheets>
  <definedNames>
    <definedName name="solver_adj" localSheetId="0" hidden="1">Planilha1!$I$5:$K$5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Planilha1!$B$12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Planilha1!$B$14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Planilha1!$B$13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J11" i="1"/>
  <c r="J8" i="1"/>
  <c r="P13" i="1"/>
  <c r="P12" i="1"/>
  <c r="P11" i="1"/>
  <c r="O11" i="1"/>
  <c r="O9" i="1" l="1"/>
  <c r="O7" i="1"/>
  <c r="O6" i="1"/>
  <c r="O5" i="1"/>
  <c r="O4" i="1"/>
  <c r="O3" i="1"/>
  <c r="O8" i="1" s="1"/>
  <c r="K8" i="1"/>
  <c r="K14" i="1" s="1"/>
  <c r="J14" i="1"/>
  <c r="I8" i="1"/>
  <c r="I14" i="1" s="1"/>
  <c r="K11" i="1"/>
  <c r="B14" i="1" l="1"/>
  <c r="B12" i="1"/>
  <c r="O12" i="1" s="1"/>
  <c r="O13" i="1" l="1"/>
</calcChain>
</file>

<file path=xl/sharedStrings.xml><?xml version="1.0" encoding="utf-8"?>
<sst xmlns="http://schemas.openxmlformats.org/spreadsheetml/2006/main" count="59" uniqueCount="55">
  <si>
    <t>a1</t>
  </si>
  <si>
    <t>b1</t>
  </si>
  <si>
    <t>a2</t>
  </si>
  <si>
    <t>b2</t>
  </si>
  <si>
    <t>a3</t>
  </si>
  <si>
    <t>b3</t>
  </si>
  <si>
    <t>q1</t>
  </si>
  <si>
    <t>q2</t>
  </si>
  <si>
    <t>q3</t>
  </si>
  <si>
    <t>p1</t>
  </si>
  <si>
    <t>p2</t>
  </si>
  <si>
    <t>p3</t>
  </si>
  <si>
    <t>cv1</t>
  </si>
  <si>
    <t>cv2</t>
  </si>
  <si>
    <t>cv3</t>
  </si>
  <si>
    <t>rt1</t>
  </si>
  <si>
    <t>rt2</t>
  </si>
  <si>
    <t>rt3</t>
  </si>
  <si>
    <t>Curva de demanda</t>
  </si>
  <si>
    <t>Lucro Total</t>
  </si>
  <si>
    <t>Quantidades</t>
  </si>
  <si>
    <t>Preços</t>
  </si>
  <si>
    <t>Custos Variáveis</t>
  </si>
  <si>
    <t>Receitas</t>
  </si>
  <si>
    <t>Custo Variável unitário</t>
  </si>
  <si>
    <t>Custo Fixo</t>
  </si>
  <si>
    <t>Maximizar Lucro em um negócio com três produtos</t>
  </si>
  <si>
    <t>Soma dos custos</t>
  </si>
  <si>
    <t>m1</t>
  </si>
  <si>
    <t>m2</t>
  </si>
  <si>
    <t>m3</t>
  </si>
  <si>
    <t>F</t>
  </si>
  <si>
    <t>c1</t>
  </si>
  <si>
    <t>c2</t>
  </si>
  <si>
    <t>c3</t>
  </si>
  <si>
    <t>=$G$9-$G$10*K5</t>
  </si>
  <si>
    <t>=$G$6*K5</t>
  </si>
  <si>
    <t>=K5*K8</t>
  </si>
  <si>
    <t>Prod 1</t>
  </si>
  <si>
    <t>Prod 2</t>
  </si>
  <si>
    <t>Prod 3</t>
  </si>
  <si>
    <t>=B3+I11+J11+K11</t>
  </si>
  <si>
    <t>Orçamento máximo</t>
  </si>
  <si>
    <t xml:space="preserve">Técnica do </t>
  </si>
  <si>
    <t>Multiplicador de Lagrange</t>
  </si>
  <si>
    <t>Solver</t>
  </si>
  <si>
    <t>Quant</t>
  </si>
  <si>
    <t>Prod1</t>
  </si>
  <si>
    <t>Prod2</t>
  </si>
  <si>
    <t>Prod3</t>
  </si>
  <si>
    <t>Alfa2</t>
  </si>
  <si>
    <t>Beta2</t>
  </si>
  <si>
    <t>Alfa3</t>
  </si>
  <si>
    <t>Beta3</t>
  </si>
  <si>
    <t>=(I14-I11)+(J14-J11)+(K14-K11)-$B$3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</si>
</sst>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43" fontId="0" fillId="5" borderId="0" xfId="1" applyFont="1" applyFill="1"/>
    <xf numFmtId="0" fontId="0" fillId="5" borderId="0" xfId="0" applyFill="1" applyAlignment="1">
      <alignment horizontal="center"/>
    </xf>
    <xf numFmtId="43" fontId="0" fillId="5" borderId="0" xfId="1" applyFont="1" applyFill="1" applyAlignment="1">
      <alignment horizontal="center"/>
    </xf>
    <xf numFmtId="43" fontId="0" fillId="4" borderId="0" xfId="1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3" fillId="4" borderId="0" xfId="0" applyFont="1" applyFill="1"/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4" fillId="0" borderId="0" xfId="0" applyFont="1"/>
    <xf numFmtId="0" fontId="2" fillId="5" borderId="0" xfId="0" applyFont="1" applyFill="1"/>
    <xf numFmtId="43" fontId="0" fillId="5" borderId="0" xfId="0" applyNumberFormat="1" applyFill="1"/>
    <xf numFmtId="43" fontId="3" fillId="4" borderId="0" xfId="1" applyFont="1" applyFill="1"/>
    <xf numFmtId="0" fontId="0" fillId="5" borderId="0" xfId="0" applyFill="1" applyAlignment="1">
      <alignment horizontal="right"/>
    </xf>
    <xf numFmtId="0" fontId="0" fillId="0" borderId="0" xfId="0" quotePrefix="1"/>
    <xf numFmtId="43" fontId="0" fillId="0" borderId="0" xfId="1" applyFont="1" applyFill="1" applyAlignment="1">
      <alignment horizontal="center"/>
    </xf>
    <xf numFmtId="0" fontId="0" fillId="5" borderId="0" xfId="0" quotePrefix="1" applyFill="1"/>
    <xf numFmtId="0" fontId="0" fillId="7" borderId="0" xfId="0" applyFill="1"/>
    <xf numFmtId="164" fontId="0" fillId="7" borderId="0" xfId="1" applyNumberFormat="1" applyFont="1" applyFill="1"/>
    <xf numFmtId="0" fontId="2" fillId="0" borderId="0" xfId="0" applyFont="1"/>
    <xf numFmtId="0" fontId="3" fillId="7" borderId="0" xfId="0" applyFont="1" applyFill="1" applyAlignment="1">
      <alignment horizontal="right"/>
    </xf>
    <xf numFmtId="165" fontId="3" fillId="7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2" fillId="7" borderId="0" xfId="0" applyFont="1" applyFill="1"/>
    <xf numFmtId="2" fontId="3" fillId="7" borderId="0" xfId="0" applyNumberFormat="1" applyFon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3A98-6841-4379-8155-62B004DDCB6A}">
  <dimension ref="A1:P17"/>
  <sheetViews>
    <sheetView showGridLines="0" tabSelected="1" topLeftCell="G2" zoomScale="110" zoomScaleNormal="110" workbookViewId="0">
      <selection activeCell="P13" sqref="P13"/>
    </sheetView>
  </sheetViews>
  <sheetFormatPr defaultRowHeight="15" x14ac:dyDescent="0.25"/>
  <cols>
    <col min="1" max="1" width="21.5703125" bestFit="1" customWidth="1"/>
    <col min="2" max="2" width="14.5703125" customWidth="1"/>
    <col min="3" max="3" width="7" customWidth="1"/>
    <col min="4" max="4" width="3.140625" bestFit="1" customWidth="1"/>
    <col min="5" max="5" width="8" customWidth="1"/>
    <col min="6" max="6" width="3.140625" bestFit="1" customWidth="1"/>
    <col min="7" max="7" width="7.28515625" customWidth="1"/>
    <col min="8" max="8" width="4.28515625" customWidth="1"/>
    <col min="9" max="11" width="9.5703125" bestFit="1" customWidth="1"/>
    <col min="13" max="13" width="7.28515625" customWidth="1"/>
  </cols>
  <sheetData>
    <row r="1" spans="1:16" ht="18.75" x14ac:dyDescent="0.3">
      <c r="A1" s="14" t="s">
        <v>26</v>
      </c>
      <c r="N1" s="24" t="s">
        <v>43</v>
      </c>
    </row>
    <row r="2" spans="1:16" x14ac:dyDescent="0.25">
      <c r="I2" s="24" t="s">
        <v>45</v>
      </c>
      <c r="N2" s="24" t="s">
        <v>44</v>
      </c>
    </row>
    <row r="3" spans="1:16" x14ac:dyDescent="0.25">
      <c r="A3" s="3" t="s">
        <v>25</v>
      </c>
      <c r="B3" s="4">
        <v>5000</v>
      </c>
      <c r="C3" s="3" t="s">
        <v>31</v>
      </c>
      <c r="D3" s="3"/>
      <c r="E3" s="3"/>
      <c r="F3" s="3"/>
      <c r="G3" s="3"/>
      <c r="I3" s="33" t="s">
        <v>20</v>
      </c>
      <c r="J3" s="33"/>
      <c r="K3" s="33"/>
      <c r="N3" s="22" t="s">
        <v>28</v>
      </c>
      <c r="O3" s="23">
        <f>C9-C6</f>
        <v>9</v>
      </c>
      <c r="P3" s="22"/>
    </row>
    <row r="4" spans="1:16" ht="15.75" x14ac:dyDescent="0.25">
      <c r="A4" s="3"/>
      <c r="B4" s="3"/>
      <c r="C4" s="3"/>
      <c r="D4" s="3"/>
      <c r="E4" s="3"/>
      <c r="F4" s="3"/>
      <c r="G4" s="3"/>
      <c r="I4" s="27" t="s">
        <v>6</v>
      </c>
      <c r="J4" s="27" t="s">
        <v>7</v>
      </c>
      <c r="K4" s="27" t="s">
        <v>8</v>
      </c>
      <c r="N4" s="22" t="s">
        <v>29</v>
      </c>
      <c r="O4" s="23">
        <f>E9-E6</f>
        <v>12</v>
      </c>
      <c r="P4" s="22"/>
    </row>
    <row r="5" spans="1:16" ht="15.75" x14ac:dyDescent="0.25">
      <c r="A5" s="3" t="s">
        <v>24</v>
      </c>
      <c r="B5" s="3"/>
      <c r="C5" s="5" t="s">
        <v>38</v>
      </c>
      <c r="D5" s="5"/>
      <c r="E5" s="5" t="s">
        <v>39</v>
      </c>
      <c r="F5" s="5"/>
      <c r="G5" s="5" t="s">
        <v>40</v>
      </c>
      <c r="I5" s="28">
        <v>661.99257332832678</v>
      </c>
      <c r="J5" s="28">
        <v>409.59413243638653</v>
      </c>
      <c r="K5" s="28">
        <v>341.32840722508399</v>
      </c>
      <c r="N5" s="22" t="s">
        <v>30</v>
      </c>
      <c r="O5" s="23">
        <f>G9-G6</f>
        <v>15</v>
      </c>
      <c r="P5" s="22"/>
    </row>
    <row r="6" spans="1:16" x14ac:dyDescent="0.25">
      <c r="A6" s="3"/>
      <c r="B6" s="18" t="s">
        <v>32</v>
      </c>
      <c r="C6" s="6">
        <v>5</v>
      </c>
      <c r="D6" s="18" t="s">
        <v>33</v>
      </c>
      <c r="E6" s="6">
        <v>8</v>
      </c>
      <c r="F6" s="18" t="s">
        <v>34</v>
      </c>
      <c r="G6" s="6">
        <v>10</v>
      </c>
      <c r="I6" s="34" t="s">
        <v>21</v>
      </c>
      <c r="J6" s="34"/>
      <c r="K6" s="34"/>
      <c r="N6" s="22" t="s">
        <v>50</v>
      </c>
      <c r="O6" s="23">
        <f>1/(2*E10)*(O4-O3*E6/C6)</f>
        <v>-120.00000000000001</v>
      </c>
      <c r="P6" s="22"/>
    </row>
    <row r="7" spans="1:16" x14ac:dyDescent="0.25">
      <c r="G7" s="1"/>
      <c r="I7" s="12" t="s">
        <v>9</v>
      </c>
      <c r="J7" s="12" t="s">
        <v>10</v>
      </c>
      <c r="K7" s="12" t="s">
        <v>11</v>
      </c>
      <c r="N7" s="22" t="s">
        <v>51</v>
      </c>
      <c r="O7" s="23">
        <f>C10/E10*E6/C6</f>
        <v>0.8</v>
      </c>
      <c r="P7" s="22"/>
    </row>
    <row r="8" spans="1:16" x14ac:dyDescent="0.25">
      <c r="A8" s="8" t="s">
        <v>18</v>
      </c>
      <c r="B8" s="8"/>
      <c r="C8" s="10" t="s">
        <v>38</v>
      </c>
      <c r="D8" s="8"/>
      <c r="E8" s="10" t="s">
        <v>39</v>
      </c>
      <c r="F8" s="8"/>
      <c r="G8" s="10" t="s">
        <v>40</v>
      </c>
      <c r="I8" s="13">
        <f>$C$9-$C$10*I5</f>
        <v>10.690037133358366</v>
      </c>
      <c r="J8" s="13">
        <f>$E$9-$E$10*J5</f>
        <v>15.904058675636135</v>
      </c>
      <c r="K8" s="13">
        <f>$G$9-$G$10*K5</f>
        <v>19.880073891623741</v>
      </c>
      <c r="L8" s="19" t="s">
        <v>35</v>
      </c>
      <c r="N8" s="22" t="s">
        <v>52</v>
      </c>
      <c r="O8" s="23">
        <f>1/(2*G10)*(O5-O3*G6/C6)</f>
        <v>-100</v>
      </c>
      <c r="P8" s="22"/>
    </row>
    <row r="9" spans="1:16" x14ac:dyDescent="0.25">
      <c r="A9" s="8"/>
      <c r="B9" s="9" t="s">
        <v>0</v>
      </c>
      <c r="C9" s="10">
        <v>14</v>
      </c>
      <c r="D9" s="9" t="s">
        <v>2</v>
      </c>
      <c r="E9" s="10">
        <v>20</v>
      </c>
      <c r="F9" s="9" t="s">
        <v>4</v>
      </c>
      <c r="G9" s="10">
        <v>25</v>
      </c>
      <c r="I9" s="35" t="s">
        <v>22</v>
      </c>
      <c r="J9" s="35"/>
      <c r="K9" s="35"/>
      <c r="N9" s="22" t="s">
        <v>53</v>
      </c>
      <c r="O9" s="23">
        <f>C10/G10*(G6/C6)</f>
        <v>0.66666666666666674</v>
      </c>
      <c r="P9" s="22"/>
    </row>
    <row r="10" spans="1:16" x14ac:dyDescent="0.25">
      <c r="A10" s="8"/>
      <c r="B10" s="9" t="s">
        <v>1</v>
      </c>
      <c r="C10" s="10">
        <v>5.0000000000000001E-3</v>
      </c>
      <c r="D10" s="9" t="s">
        <v>3</v>
      </c>
      <c r="E10" s="10">
        <v>0.01</v>
      </c>
      <c r="F10" s="9" t="s">
        <v>5</v>
      </c>
      <c r="G10" s="10">
        <v>1.4999999999999999E-2</v>
      </c>
      <c r="I10" s="5" t="s">
        <v>12</v>
      </c>
      <c r="J10" s="5" t="s">
        <v>13</v>
      </c>
      <c r="K10" s="5" t="s">
        <v>14</v>
      </c>
      <c r="N10" s="22"/>
      <c r="O10" s="29" t="s">
        <v>46</v>
      </c>
      <c r="P10" s="29" t="s">
        <v>21</v>
      </c>
    </row>
    <row r="11" spans="1:16" ht="15.75" x14ac:dyDescent="0.25">
      <c r="I11" s="6">
        <f>$C$6*I5</f>
        <v>3309.9628666416338</v>
      </c>
      <c r="J11" s="6">
        <f>J5*$E$6</f>
        <v>3276.7530594910922</v>
      </c>
      <c r="K11" s="6">
        <f>$G$6*K5</f>
        <v>3413.2840722508399</v>
      </c>
      <c r="L11" s="19" t="s">
        <v>36</v>
      </c>
      <c r="N11" s="25" t="s">
        <v>47</v>
      </c>
      <c r="O11" s="26">
        <f>(B13-B3-E6*O6-G6*O8)/(C6+E6*O7+G6*O9)</f>
        <v>661.99261992619915</v>
      </c>
      <c r="P11" s="30">
        <f>C9-C10*O11</f>
        <v>10.690036900369005</v>
      </c>
    </row>
    <row r="12" spans="1:16" ht="15.75" x14ac:dyDescent="0.25">
      <c r="A12" s="15" t="s">
        <v>27</v>
      </c>
      <c r="B12" s="16">
        <f>B3+I11+J11+K11</f>
        <v>14999.999998383566</v>
      </c>
      <c r="C12" s="21" t="s">
        <v>41</v>
      </c>
      <c r="D12" s="3"/>
      <c r="E12" s="3"/>
      <c r="F12" s="3"/>
      <c r="G12" s="3"/>
      <c r="I12" s="31" t="s">
        <v>23</v>
      </c>
      <c r="J12" s="31"/>
      <c r="K12" s="31"/>
      <c r="N12" s="25" t="s">
        <v>48</v>
      </c>
      <c r="O12" s="26">
        <f>O6+O7*O11</f>
        <v>409.59409594095939</v>
      </c>
      <c r="P12" s="30">
        <f>E9-E10*O12</f>
        <v>15.904059040590406</v>
      </c>
    </row>
    <row r="13" spans="1:16" ht="15.75" x14ac:dyDescent="0.25">
      <c r="A13" s="15" t="s">
        <v>42</v>
      </c>
      <c r="B13" s="16">
        <v>15000</v>
      </c>
      <c r="I13" s="2" t="s">
        <v>15</v>
      </c>
      <c r="J13" s="2" t="s">
        <v>16</v>
      </c>
      <c r="K13" s="2" t="s">
        <v>17</v>
      </c>
      <c r="N13" s="25" t="s">
        <v>49</v>
      </c>
      <c r="O13" s="26">
        <f>O8+O9*O11</f>
        <v>341.32841328413281</v>
      </c>
      <c r="P13" s="30">
        <f>G9-G10*O13</f>
        <v>19.880073800738007</v>
      </c>
    </row>
    <row r="14" spans="1:16" ht="15.75" x14ac:dyDescent="0.25">
      <c r="A14" s="11" t="s">
        <v>19</v>
      </c>
      <c r="B14" s="17">
        <f>(I14-I11)+(J14-J11)+(K14-K11)-$B$3</f>
        <v>5376.5682649131868</v>
      </c>
      <c r="I14" s="7">
        <f>I5*I8</f>
        <v>7076.7251908872749</v>
      </c>
      <c r="J14" s="7">
        <f>+J5*J8</f>
        <v>6514.2091154645695</v>
      </c>
      <c r="K14" s="7">
        <f>K5*K8</f>
        <v>6785.6339569449083</v>
      </c>
      <c r="L14" s="19" t="s">
        <v>37</v>
      </c>
    </row>
    <row r="15" spans="1:16" x14ac:dyDescent="0.25">
      <c r="B15" s="19" t="s">
        <v>54</v>
      </c>
      <c r="I15" s="32"/>
      <c r="J15" s="32"/>
      <c r="K15" s="32"/>
    </row>
    <row r="16" spans="1:16" x14ac:dyDescent="0.25">
      <c r="I16" s="1"/>
      <c r="J16" s="1"/>
      <c r="K16" s="1"/>
    </row>
    <row r="17" spans="9:12" x14ac:dyDescent="0.25">
      <c r="I17" s="20"/>
      <c r="J17" s="20"/>
      <c r="K17" s="20"/>
      <c r="L17" s="19"/>
    </row>
  </sheetData>
  <mergeCells count="5">
    <mergeCell ref="I12:K12"/>
    <mergeCell ref="I15:K15"/>
    <mergeCell ref="I3:K3"/>
    <mergeCell ref="I6:K6"/>
    <mergeCell ref="I9:K9"/>
  </mergeCells>
  <pageMargins left="0.511811024" right="0.511811024" top="0.78740157499999996" bottom="0.78740157499999996" header="0.31496062000000002" footer="0.31496062000000002"/>
  <ignoredErrors>
    <ignoredError sqref="J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</cp:lastModifiedBy>
  <dcterms:created xsi:type="dcterms:W3CDTF">2023-02-19T12:23:42Z</dcterms:created>
  <dcterms:modified xsi:type="dcterms:W3CDTF">2023-02-23T23:04:02Z</dcterms:modified>
</cp:coreProperties>
</file>