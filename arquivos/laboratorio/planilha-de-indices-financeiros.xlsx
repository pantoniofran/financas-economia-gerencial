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franc\UfbaAulas1\FinançasMPA\ONLINE\"/>
    </mc:Choice>
  </mc:AlternateContent>
  <bookViews>
    <workbookView xWindow="-120" yWindow="-120" windowWidth="20730" windowHeight="11160" activeTab="6"/>
  </bookViews>
  <sheets>
    <sheet name="BP" sheetId="1" r:id="rId1"/>
    <sheet name="DRE" sheetId="2" r:id="rId2"/>
    <sheet name="Índices" sheetId="3" r:id="rId3"/>
    <sheet name="IlustraCalc" sheetId="5" r:id="rId4"/>
    <sheet name="LinkDados" sheetId="6" r:id="rId5"/>
    <sheet name="AlunosEmpresa" sheetId="7" r:id="rId6"/>
    <sheet name="Instruções" sheetId="8" r:id="rId7"/>
  </sheets>
  <calcPr calcId="152511"/>
</workbook>
</file>

<file path=xl/calcChain.xml><?xml version="1.0" encoding="utf-8"?>
<calcChain xmlns="http://schemas.openxmlformats.org/spreadsheetml/2006/main">
  <c r="I38" i="8" l="1"/>
  <c r="J11" i="3"/>
  <c r="I11" i="3"/>
  <c r="C23" i="3" l="1"/>
  <c r="D11" i="3" l="1"/>
  <c r="D12" i="3" l="1"/>
  <c r="D33" i="5"/>
  <c r="D32" i="5"/>
  <c r="A42" i="5"/>
  <c r="A41" i="5"/>
  <c r="B36" i="5"/>
  <c r="A36" i="5"/>
  <c r="A34" i="5"/>
  <c r="G31" i="5"/>
  <c r="G30" i="5"/>
  <c r="D29" i="5"/>
  <c r="D28" i="5"/>
  <c r="A31" i="5"/>
  <c r="A30" i="5"/>
  <c r="G27" i="5"/>
  <c r="G26" i="5"/>
  <c r="D24" i="5"/>
  <c r="D23" i="5"/>
  <c r="G22" i="5"/>
  <c r="H15" i="5"/>
  <c r="D19" i="5"/>
  <c r="E18" i="5"/>
  <c r="B21" i="5"/>
  <c r="B20" i="5"/>
  <c r="B22" i="5" s="1"/>
  <c r="H10" i="5"/>
  <c r="E13" i="5"/>
  <c r="E12" i="5"/>
  <c r="E14" i="5" s="1"/>
  <c r="H9" i="5" s="1"/>
  <c r="B16" i="5"/>
  <c r="B11" i="5"/>
  <c r="B10" i="5"/>
  <c r="B12" i="5" s="1"/>
  <c r="B15" i="5" s="1"/>
  <c r="A10" i="5"/>
  <c r="G5" i="5"/>
  <c r="G4" i="5"/>
  <c r="E6" i="5"/>
  <c r="E5" i="5"/>
  <c r="E4" i="5"/>
  <c r="E7" i="5" s="1"/>
  <c r="B17" i="5" l="1"/>
  <c r="H11" i="5"/>
  <c r="C11" i="3"/>
  <c r="C12" i="3" s="1"/>
  <c r="E8" i="2" l="1"/>
  <c r="E7" i="2"/>
  <c r="D7" i="2"/>
  <c r="D8" i="2" l="1"/>
  <c r="J18" i="3"/>
  <c r="I18" i="3"/>
  <c r="J17" i="3"/>
  <c r="I17" i="3"/>
  <c r="D15" i="3"/>
  <c r="C15" i="3"/>
  <c r="D13" i="3"/>
  <c r="D14" i="3" s="1"/>
  <c r="C13" i="3"/>
  <c r="C14" i="3" s="1"/>
  <c r="E25" i="1"/>
  <c r="D25" i="1"/>
  <c r="E17" i="2"/>
  <c r="D17" i="2"/>
  <c r="E10" i="2"/>
  <c r="D23" i="3" s="1"/>
  <c r="D10" i="2"/>
  <c r="I27" i="1"/>
  <c r="H27" i="1"/>
  <c r="I21" i="1"/>
  <c r="H21" i="1"/>
  <c r="I16" i="1"/>
  <c r="H16" i="1"/>
  <c r="E16" i="1"/>
  <c r="D16" i="1"/>
  <c r="B4" i="5" s="1"/>
  <c r="H22" i="5" l="1"/>
  <c r="H32" i="5"/>
  <c r="E29" i="5"/>
  <c r="E19" i="2"/>
  <c r="E23" i="2" s="1"/>
  <c r="E25" i="2" s="1"/>
  <c r="E28" i="2" s="1"/>
  <c r="B26" i="5"/>
  <c r="H4" i="5"/>
  <c r="E24" i="5"/>
  <c r="C20" i="3"/>
  <c r="B39" i="5"/>
  <c r="E17" i="5"/>
  <c r="B5" i="5"/>
  <c r="H19" i="5"/>
  <c r="E8" i="5"/>
  <c r="E9" i="5" s="1"/>
  <c r="D20" i="3"/>
  <c r="B6" i="5"/>
  <c r="H20" i="5"/>
  <c r="B37" i="5"/>
  <c r="B38" i="5" s="1"/>
  <c r="D19" i="2"/>
  <c r="C7" i="3"/>
  <c r="D6" i="3"/>
  <c r="C6" i="3"/>
  <c r="D7" i="3"/>
  <c r="D18" i="3"/>
  <c r="I19" i="3"/>
  <c r="J19" i="3"/>
  <c r="D29" i="1"/>
  <c r="E29" i="1"/>
  <c r="I29" i="1"/>
  <c r="H29" i="1"/>
  <c r="D25" i="3" l="1"/>
  <c r="D28" i="3"/>
  <c r="D23" i="2"/>
  <c r="D25" i="2" s="1"/>
  <c r="B30" i="5"/>
  <c r="E23" i="5"/>
  <c r="E25" i="5" s="1"/>
  <c r="H14" i="5"/>
  <c r="H16" i="5" s="1"/>
  <c r="D19" i="3"/>
  <c r="D26" i="3"/>
  <c r="B35" i="5"/>
  <c r="B40" i="5" s="1"/>
  <c r="E33" i="5"/>
  <c r="H31" i="5"/>
  <c r="H33" i="5" s="1"/>
  <c r="E19" i="5"/>
  <c r="E20" i="5" s="1"/>
  <c r="B31" i="5"/>
  <c r="B32" i="5" s="1"/>
  <c r="H27" i="5"/>
  <c r="H5" i="5"/>
  <c r="H6" i="5" s="1"/>
  <c r="D24" i="3"/>
  <c r="H21" i="5"/>
  <c r="H23" i="5" s="1"/>
  <c r="C28" i="3"/>
  <c r="C25" i="3"/>
  <c r="C27" i="3"/>
  <c r="C19" i="3"/>
  <c r="C24" i="3"/>
  <c r="C33" i="3"/>
  <c r="C31" i="3"/>
  <c r="D27" i="3"/>
  <c r="C18" i="3"/>
  <c r="D33" i="3"/>
  <c r="D31" i="3"/>
  <c r="D10" i="3"/>
  <c r="D32" i="3"/>
  <c r="C10" i="3"/>
  <c r="D28" i="2" l="1"/>
  <c r="E28" i="5"/>
  <c r="E30" i="5" s="1"/>
  <c r="B25" i="5"/>
  <c r="B27" i="5" s="1"/>
  <c r="E34" i="5"/>
  <c r="H26" i="5"/>
  <c r="H28" i="5" s="1"/>
  <c r="C32" i="3"/>
  <c r="B41" i="5"/>
  <c r="B42" i="5" s="1"/>
  <c r="E35" i="5"/>
  <c r="C26" i="3"/>
</calcChain>
</file>

<file path=xl/sharedStrings.xml><?xml version="1.0" encoding="utf-8"?>
<sst xmlns="http://schemas.openxmlformats.org/spreadsheetml/2006/main" count="300" uniqueCount="193">
  <si>
    <t>Ativos</t>
  </si>
  <si>
    <t>Ativos circulantes</t>
  </si>
  <si>
    <t>31 de dezembro de</t>
  </si>
  <si>
    <t>Passivos</t>
  </si>
  <si>
    <t>Passivos circulantes</t>
  </si>
  <si>
    <t xml:space="preserve">     Caixa</t>
  </si>
  <si>
    <t xml:space="preserve">     Títulos</t>
  </si>
  <si>
    <t xml:space="preserve">     Contas a receber</t>
  </si>
  <si>
    <t xml:space="preserve">     Estoques</t>
  </si>
  <si>
    <t xml:space="preserve">          Total dos ativos circulantes</t>
  </si>
  <si>
    <t xml:space="preserve">     Terrenos e edificações</t>
  </si>
  <si>
    <t xml:space="preserve">     Máquinas</t>
  </si>
  <si>
    <t xml:space="preserve">     Móveis</t>
  </si>
  <si>
    <t xml:space="preserve">     Depreciação Acumulada</t>
  </si>
  <si>
    <t>(em R$ milhões)</t>
  </si>
  <si>
    <t xml:space="preserve">          Total dos passivos circulantes</t>
  </si>
  <si>
    <t>Passivos a longo prazo</t>
  </si>
  <si>
    <t xml:space="preserve">     Dívida a longo prazo</t>
  </si>
  <si>
    <t>Patrimônio líquido</t>
  </si>
  <si>
    <t xml:space="preserve">     Ações preferenciais</t>
  </si>
  <si>
    <t xml:space="preserve">     Ações ordinárias</t>
  </si>
  <si>
    <t xml:space="preserve">     Reserva de lucro</t>
  </si>
  <si>
    <t>Total dos ativos</t>
  </si>
  <si>
    <t>Total dos passivos</t>
  </si>
  <si>
    <t xml:space="preserve">     Contas a pagar</t>
  </si>
  <si>
    <t xml:space="preserve">     Títulos de curto prazo</t>
  </si>
  <si>
    <t xml:space="preserve">     Despesas a pagar</t>
  </si>
  <si>
    <t xml:space="preserve">         Total dos passivos de longo prazo</t>
  </si>
  <si>
    <t xml:space="preserve">          Total do patrimônio líquido</t>
  </si>
  <si>
    <t>Balanço patrimonial da Hipotética S/A</t>
  </si>
  <si>
    <t>Custo dos produtos vendidos</t>
  </si>
  <si>
    <t>Lucro bruto</t>
  </si>
  <si>
    <t>Despesas operacionais</t>
  </si>
  <si>
    <t xml:space="preserve">     de venda</t>
  </si>
  <si>
    <t xml:space="preserve">     gerais e administrativas</t>
  </si>
  <si>
    <t xml:space="preserve">     com aluguel</t>
  </si>
  <si>
    <t xml:space="preserve">     de depreciação</t>
  </si>
  <si>
    <t xml:space="preserve">          Total de despesas operacionais</t>
  </si>
  <si>
    <t>Resultado operacional</t>
  </si>
  <si>
    <t>Despesas financeiras</t>
  </si>
  <si>
    <t>Lucro antes do imposto de renda</t>
  </si>
  <si>
    <t>Imposto de renda</t>
  </si>
  <si>
    <t>Lucro líquido após imposto de renda</t>
  </si>
  <si>
    <t>Dividendos</t>
  </si>
  <si>
    <t>Lucro retido</t>
  </si>
  <si>
    <t xml:space="preserve">     Intangíveis</t>
  </si>
  <si>
    <t xml:space="preserve">                                             (em R$ milhões)</t>
  </si>
  <si>
    <t xml:space="preserve">  Demonstração do resultado do exercício da Hipotética S/A</t>
  </si>
  <si>
    <t>Liquidez</t>
  </si>
  <si>
    <t>Atividade</t>
  </si>
  <si>
    <t xml:space="preserve">     Índice de liquidez corrente</t>
  </si>
  <si>
    <t xml:space="preserve">     Índice de liquidez seca</t>
  </si>
  <si>
    <t xml:space="preserve">      Giro do ativo total</t>
  </si>
  <si>
    <t xml:space="preserve">      Giro de contas a receber</t>
  </si>
  <si>
    <t xml:space="preserve">      Prazo médio de recebimento</t>
  </si>
  <si>
    <t xml:space="preserve">      Giro de contas a pagar</t>
  </si>
  <si>
    <t xml:space="preserve">      Prazo médio de contas a pagar</t>
  </si>
  <si>
    <t xml:space="preserve">     Giro de estoques</t>
  </si>
  <si>
    <t>Endividamento</t>
  </si>
  <si>
    <t xml:space="preserve">     Endividamento geral</t>
  </si>
  <si>
    <t xml:space="preserve">     Cobertura de juros</t>
  </si>
  <si>
    <t xml:space="preserve">     Passivo/Patrimônio líquido</t>
  </si>
  <si>
    <t>Rentabilidade</t>
  </si>
  <si>
    <t xml:space="preserve">     Margem líquida</t>
  </si>
  <si>
    <t xml:space="preserve">     Margem bruta</t>
  </si>
  <si>
    <t xml:space="preserve">     ROA (líquido)</t>
  </si>
  <si>
    <t xml:space="preserve">     ROA (bruto)</t>
  </si>
  <si>
    <t xml:space="preserve">     ROE</t>
  </si>
  <si>
    <t>Valor de mercado</t>
  </si>
  <si>
    <t>Preço/Valor patrimonial</t>
  </si>
  <si>
    <t>Q de Tobin</t>
  </si>
  <si>
    <t>Quantidade de ações ordinárias</t>
  </si>
  <si>
    <t>Fim 2013</t>
  </si>
  <si>
    <t>Fim 2012</t>
  </si>
  <si>
    <t>Valor total ações ordinárias</t>
  </si>
  <si>
    <t>Quantidade de ações preferenciais</t>
  </si>
  <si>
    <t>Valor de mercado da dívida de longo prazo</t>
  </si>
  <si>
    <t>Valor total ações preferenciais</t>
  </si>
  <si>
    <t>Valor total das ações</t>
  </si>
  <si>
    <t xml:space="preserve">Índice Preço/Lucro </t>
  </si>
  <si>
    <t>Valor de reposição dos ativos (milhões de R$)</t>
  </si>
  <si>
    <t>Preço da ação ordinária (R$/unid)</t>
  </si>
  <si>
    <t>Preço da ação preferencial (R$/unid)</t>
  </si>
  <si>
    <t>Milhões de ações</t>
  </si>
  <si>
    <t>Índices</t>
  </si>
  <si>
    <t>Ativos não circulantes</t>
  </si>
  <si>
    <t xml:space="preserve">          Total dos ativos não circulantes</t>
  </si>
  <si>
    <t>Receita operacional líquida</t>
  </si>
  <si>
    <t>Receita operacional bruta</t>
  </si>
  <si>
    <t>Impostos sobre vendas</t>
  </si>
  <si>
    <t>Prazo médio de recebimento</t>
  </si>
  <si>
    <t>Dias ano</t>
  </si>
  <si>
    <t>PMCP</t>
  </si>
  <si>
    <t>Cobertura de juros</t>
  </si>
  <si>
    <t>ICJ</t>
  </si>
  <si>
    <t>Endividamento geral</t>
  </si>
  <si>
    <t>Total dos passivos circulantes</t>
  </si>
  <si>
    <t>Total dos passivos de longo prazo</t>
  </si>
  <si>
    <t>EG</t>
  </si>
  <si>
    <t>Giro de estoques</t>
  </si>
  <si>
    <t>Estoques</t>
  </si>
  <si>
    <t>GE</t>
  </si>
  <si>
    <t>Prazo médio de contas a pagar</t>
  </si>
  <si>
    <t>GCP</t>
  </si>
  <si>
    <t>Dias/ano</t>
  </si>
  <si>
    <t>Giro de contas a pagar</t>
  </si>
  <si>
    <t>Contas a pagar</t>
  </si>
  <si>
    <t>IP/PL</t>
  </si>
  <si>
    <t>Passivo/Patrimônio líquido</t>
  </si>
  <si>
    <t>Margem líquida</t>
  </si>
  <si>
    <t>ML</t>
  </si>
  <si>
    <t>Margem bruta</t>
  </si>
  <si>
    <t>MB</t>
  </si>
  <si>
    <t>ROA Líquido</t>
  </si>
  <si>
    <t>ROA Liq</t>
  </si>
  <si>
    <t>ROA Bruto</t>
  </si>
  <si>
    <t>ROE</t>
  </si>
  <si>
    <t>Total do patrimônio líquido</t>
  </si>
  <si>
    <t>PVP</t>
  </si>
  <si>
    <t>Passivo circulante</t>
  </si>
  <si>
    <t>Valor de mercado dos ativos</t>
  </si>
  <si>
    <t>Dívida de longo Prazo a mercado</t>
  </si>
  <si>
    <t>Lucro líquido</t>
  </si>
  <si>
    <t>P/L</t>
  </si>
  <si>
    <t>PMR</t>
  </si>
  <si>
    <t>GRC</t>
  </si>
  <si>
    <t>Contas a receber</t>
  </si>
  <si>
    <t>Soma Ativos Circ-Estoque</t>
  </si>
  <si>
    <t>Caixa</t>
  </si>
  <si>
    <t>Títulos</t>
  </si>
  <si>
    <t>Índice de liquidez seca</t>
  </si>
  <si>
    <t>Índice de liquidez corrente</t>
  </si>
  <si>
    <t>Total dos ativos circulantes</t>
  </si>
  <si>
    <t>IL</t>
  </si>
  <si>
    <t>ILS</t>
  </si>
  <si>
    <t>Giro do ativo total</t>
  </si>
  <si>
    <t>GAT</t>
  </si>
  <si>
    <t>Giro de contas a receber</t>
  </si>
  <si>
    <t>Solução do Exercício</t>
  </si>
  <si>
    <t xml:space="preserve">     Margem operacional</t>
  </si>
  <si>
    <t>20X2</t>
  </si>
  <si>
    <t>20X3</t>
  </si>
  <si>
    <t>Empresa</t>
  </si>
  <si>
    <t>Link</t>
  </si>
  <si>
    <t>Weg</t>
  </si>
  <si>
    <t>https://ri.weg.net/informacoes-financeiras/planilhas/</t>
  </si>
  <si>
    <t>Klabin</t>
  </si>
  <si>
    <t>https://ri.klabin.com.br/divulgacoes-e-resultados/central-de-resultados/</t>
  </si>
  <si>
    <t>Suzano</t>
  </si>
  <si>
    <t>https://ri.suzano.com.br/Portuguese/informacoes-financeiras/central-de-resultados/default.aspx</t>
  </si>
  <si>
    <t>Magazine Luíza</t>
  </si>
  <si>
    <t>https://ri.magazineluiza.com.br/Show/Planilha-de-Resultado?=BbQU+bGLTHjGnrshXKFrLw==</t>
  </si>
  <si>
    <t>Pão de Açucar</t>
  </si>
  <si>
    <t>http://www.gpari.com.br/servicos-aos-investidores/dados-operacionais-e-financeiros/</t>
  </si>
  <si>
    <t>Via Varejo</t>
  </si>
  <si>
    <t>https://ri.viavarejo.com.br/informacoes-financeiras/resultados-interativos/</t>
  </si>
  <si>
    <t>BRF</t>
  </si>
  <si>
    <t>https://ri.brf-global.com/informacoes-financeiras/planilha-de-resultados/</t>
  </si>
  <si>
    <t>Ambev</t>
  </si>
  <si>
    <t>http://ri.ambev.com.br/relatorios-publicacoes/divulgacao-de-resultados/</t>
  </si>
  <si>
    <t>Engie</t>
  </si>
  <si>
    <t>http://engie.riweb.com.br/PlanilhasDinamicas.aspx?Planilha=PD58mCikmnVW9yilpN8wvQ==</t>
  </si>
  <si>
    <t>Marfrig</t>
  </si>
  <si>
    <t>https://ri.marfrig.com.br/informacoes-financeiras/planilha-de-resultados/</t>
  </si>
  <si>
    <t>Usiminas</t>
  </si>
  <si>
    <t>http://ri.usiminas.com/informacoes-financeiras/serie-historica-de-balancos/</t>
  </si>
  <si>
    <t>Aluno</t>
  </si>
  <si>
    <t>Períodos</t>
  </si>
  <si>
    <t>2009/2010</t>
  </si>
  <si>
    <t>2011/2012</t>
  </si>
  <si>
    <t>2013/2014</t>
  </si>
  <si>
    <t>2015/2016</t>
  </si>
  <si>
    <t>2017/2018</t>
  </si>
  <si>
    <t>2019/2020</t>
  </si>
  <si>
    <t>2010/2011</t>
  </si>
  <si>
    <t>2012/2013</t>
  </si>
  <si>
    <t>2014/2015</t>
  </si>
  <si>
    <t>2016/2017</t>
  </si>
  <si>
    <t>2018/2019</t>
  </si>
  <si>
    <t>AMBEV</t>
  </si>
  <si>
    <t>Análise da empresa</t>
  </si>
  <si>
    <t>1. Utilize a planilha de análise fornecida pelo professor para fazer sua avaliação de acordo com a aba Alunos/Empresa. Use a aba LiksDados</t>
  </si>
  <si>
    <t>2. Se achar conveniente, visite o sítio da empresa e colete informações adicionais que você julgue necessário</t>
  </si>
  <si>
    <t>3. Colete informações da empresa no sítio do Yahoo Finance (use o google). Discuta o valor do Beta da empresa</t>
  </si>
  <si>
    <t>4. Compare a evolução dos preços da empresa com a evolução dos preços do Ibovespa. Use o Yahoo Finance</t>
  </si>
  <si>
    <t>5. Acrescente comentários que achar pertinente sobre a situação econômico-financeira da empresa</t>
  </si>
  <si>
    <t>Observações: Para o valor total de capitalização de mercado, usar o sítio do Yahoo Finance</t>
  </si>
  <si>
    <t>Ex: digite no google: Yahho Finance Weg. Clique no link sugerido para o Yahoo Finance e veja a tela:</t>
  </si>
  <si>
    <t>Valor de mercado em 19/2</t>
  </si>
  <si>
    <t>bilhões</t>
  </si>
  <si>
    <t>Preço da ação</t>
  </si>
  <si>
    <t>Preço data de referência</t>
  </si>
  <si>
    <t>Valor de mercado na referência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</si>
</sst>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0.000"/>
    <numFmt numFmtId="165" formatCode="_-* #,##0.000_-;\-* #,##0.000_-;_-* &quot;-&quot;??_-;_-@_-"/>
  </numFmts>
  <fonts count="11" x14ac:knownFonts="1">
    <font>
      <sz val="10"/>
      <color theme="1"/>
      <name val="Times New Roman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2"/>
    </font>
    <font>
      <sz val="10"/>
      <color theme="1"/>
      <name val="Times New Roman"/>
      <family val="2"/>
    </font>
    <font>
      <u/>
      <sz val="10"/>
      <color theme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0" xfId="0" applyFont="1"/>
    <xf numFmtId="0" fontId="4" fillId="0" borderId="2" xfId="0" applyFont="1" applyBorder="1" applyAlignment="1">
      <alignment horizontal="right"/>
    </xf>
    <xf numFmtId="0" fontId="4" fillId="0" borderId="0" xfId="0" applyFont="1" applyAlignment="1">
      <alignment horizontal="justify"/>
    </xf>
    <xf numFmtId="0" fontId="3" fillId="0" borderId="0" xfId="0" applyFont="1"/>
    <xf numFmtId="0" fontId="4" fillId="0" borderId="1" xfId="0" applyFont="1" applyBorder="1" applyAlignment="1">
      <alignment horizontal="justify"/>
    </xf>
    <xf numFmtId="0" fontId="5" fillId="0" borderId="0" xfId="0" applyFont="1"/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4" fontId="0" fillId="0" borderId="0" xfId="0" applyNumberFormat="1"/>
    <xf numFmtId="4" fontId="2" fillId="0" borderId="0" xfId="0" applyNumberFormat="1" applyFont="1"/>
    <xf numFmtId="4" fontId="3" fillId="0" borderId="0" xfId="0" applyNumberFormat="1" applyFont="1" applyAlignment="1">
      <alignment horizontal="right"/>
    </xf>
    <xf numFmtId="0" fontId="6" fillId="0" borderId="0" xfId="0" applyFont="1"/>
    <xf numFmtId="4" fontId="6" fillId="0" borderId="0" xfId="0" applyNumberFormat="1" applyFont="1"/>
    <xf numFmtId="0" fontId="6" fillId="0" borderId="1" xfId="0" applyFont="1" applyBorder="1"/>
    <xf numFmtId="164" fontId="6" fillId="0" borderId="0" xfId="0" applyNumberFormat="1" applyFont="1"/>
    <xf numFmtId="0" fontId="6" fillId="0" borderId="0" xfId="0" applyFont="1" applyAlignment="1">
      <alignment horizontal="center"/>
    </xf>
    <xf numFmtId="9" fontId="6" fillId="0" borderId="0" xfId="0" applyNumberFormat="1" applyFont="1"/>
    <xf numFmtId="165" fontId="6" fillId="0" borderId="0" xfId="0" applyNumberFormat="1" applyFont="1"/>
    <xf numFmtId="165" fontId="6" fillId="0" borderId="1" xfId="0" applyNumberFormat="1" applyFont="1" applyBorder="1"/>
    <xf numFmtId="43" fontId="6" fillId="0" borderId="1" xfId="1" applyFont="1" applyBorder="1"/>
    <xf numFmtId="0" fontId="6" fillId="0" borderId="1" xfId="0" applyFont="1" applyBorder="1" applyAlignment="1">
      <alignment horizontal="right"/>
    </xf>
    <xf numFmtId="9" fontId="0" fillId="0" borderId="0" xfId="0" applyNumberFormat="1"/>
    <xf numFmtId="0" fontId="5" fillId="0" borderId="1" xfId="0" applyFont="1" applyBorder="1"/>
    <xf numFmtId="0" fontId="4" fillId="0" borderId="0" xfId="0" applyFont="1" applyAlignment="1">
      <alignment horizontal="right"/>
    </xf>
    <xf numFmtId="3" fontId="6" fillId="0" borderId="0" xfId="0" applyNumberFormat="1" applyFont="1"/>
    <xf numFmtId="0" fontId="5" fillId="0" borderId="0" xfId="0" applyFont="1" applyAlignment="1">
      <alignment horizontal="center"/>
    </xf>
    <xf numFmtId="43" fontId="6" fillId="0" borderId="0" xfId="0" applyNumberFormat="1" applyFont="1"/>
    <xf numFmtId="0" fontId="5" fillId="2" borderId="0" xfId="0" applyFont="1" applyFill="1"/>
    <xf numFmtId="0" fontId="6" fillId="2" borderId="0" xfId="0" applyFont="1" applyFill="1"/>
    <xf numFmtId="0" fontId="6" fillId="3" borderId="0" xfId="0" applyFont="1" applyFill="1"/>
    <xf numFmtId="43" fontId="6" fillId="3" borderId="0" xfId="1" applyFont="1" applyFill="1" applyAlignment="1">
      <alignment horizontal="center"/>
    </xf>
    <xf numFmtId="2" fontId="6" fillId="3" borderId="0" xfId="0" applyNumberFormat="1" applyFont="1" applyFill="1"/>
    <xf numFmtId="9" fontId="6" fillId="3" borderId="0" xfId="0" applyNumberFormat="1" applyFont="1" applyFill="1"/>
    <xf numFmtId="43" fontId="6" fillId="3" borderId="0" xfId="1" applyFont="1" applyFill="1"/>
    <xf numFmtId="0" fontId="6" fillId="3" borderId="1" xfId="0" applyFont="1" applyFill="1" applyBorder="1"/>
    <xf numFmtId="43" fontId="6" fillId="3" borderId="1" xfId="1" applyFont="1" applyFill="1" applyBorder="1"/>
    <xf numFmtId="0" fontId="0" fillId="4" borderId="1" xfId="0" applyFill="1" applyBorder="1"/>
    <xf numFmtId="0" fontId="8" fillId="0" borderId="0" xfId="2"/>
    <xf numFmtId="0" fontId="9" fillId="5" borderId="0" xfId="0" applyFont="1" applyFill="1" applyBorder="1" applyAlignment="1">
      <alignment horizontal="left" vertical="center" indent="2"/>
    </xf>
    <xf numFmtId="0" fontId="9" fillId="0" borderId="0" xfId="0" applyFont="1" applyBorder="1" applyAlignment="1">
      <alignment horizontal="left" vertical="center" indent="2"/>
    </xf>
    <xf numFmtId="0" fontId="10" fillId="0" borderId="0" xfId="0" applyFont="1"/>
    <xf numFmtId="2" fontId="0" fillId="0" borderId="0" xfId="0" applyNumberFormat="1"/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19</xdr:row>
      <xdr:rowOff>9526</xdr:rowOff>
    </xdr:from>
    <xdr:to>
      <xdr:col>8</xdr:col>
      <xdr:colOff>809625</xdr:colOff>
      <xdr:row>22</xdr:row>
      <xdr:rowOff>9526</xdr:rowOff>
    </xdr:to>
    <xdr:sp macro="" textlink="">
      <xdr:nvSpPr>
        <xdr:cNvPr id="2" name="Seta para a direita 1"/>
        <xdr:cNvSpPr/>
      </xdr:nvSpPr>
      <xdr:spPr>
        <a:xfrm rot="19100975">
          <a:off x="8991600" y="3810001"/>
          <a:ext cx="600075" cy="600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390525</xdr:colOff>
      <xdr:row>19</xdr:row>
      <xdr:rowOff>38100</xdr:rowOff>
    </xdr:from>
    <xdr:to>
      <xdr:col>9</xdr:col>
      <xdr:colOff>990600</xdr:colOff>
      <xdr:row>22</xdr:row>
      <xdr:rowOff>38100</xdr:rowOff>
    </xdr:to>
    <xdr:sp macro="" textlink="">
      <xdr:nvSpPr>
        <xdr:cNvPr id="3" name="Seta para a direita 2"/>
        <xdr:cNvSpPr/>
      </xdr:nvSpPr>
      <xdr:spPr>
        <a:xfrm rot="19100975">
          <a:off x="10525125" y="3838575"/>
          <a:ext cx="600075" cy="60007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8</xdr:col>
      <xdr:colOff>152400</xdr:colOff>
      <xdr:row>22</xdr:row>
      <xdr:rowOff>85725</xdr:rowOff>
    </xdr:from>
    <xdr:ext cx="2705100" cy="436786"/>
    <xdr:sp macro="" textlink="">
      <xdr:nvSpPr>
        <xdr:cNvPr id="4" name="CaixaDeTexto 3"/>
        <xdr:cNvSpPr txBox="1"/>
      </xdr:nvSpPr>
      <xdr:spPr>
        <a:xfrm>
          <a:off x="8934450" y="4486275"/>
          <a:ext cx="2705100" cy="436786"/>
        </a:xfrm>
        <a:prstGeom prst="rect">
          <a:avLst/>
        </a:prstGeom>
        <a:noFill/>
        <a:ln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/>
            <a:t>Valor de mercado. Usar dados</a:t>
          </a:r>
          <a:r>
            <a:rPr lang="pt-BR" sz="1100" baseline="0"/>
            <a:t> de captalização de mercado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11</xdr:row>
      <xdr:rowOff>156056</xdr:rowOff>
    </xdr:from>
    <xdr:to>
      <xdr:col>13</xdr:col>
      <xdr:colOff>18864</xdr:colOff>
      <xdr:row>34</xdr:row>
      <xdr:rowOff>76201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37231"/>
          <a:ext cx="6886389" cy="3644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://ri.ambev.com.br/relatorios-publicacoes/divulgacao-de-resultados/" TargetMode="External"/><Relationship Id="rId3" Type="http://schemas.openxmlformats.org/officeDocument/2006/relationships/hyperlink" Target="https://ri.suzano.com.br/Portuguese/informacoes-financeiras/central-de-resultados/default.aspx" TargetMode="External"/><Relationship Id="rId7" Type="http://schemas.openxmlformats.org/officeDocument/2006/relationships/hyperlink" Target="https://ri.brf-global.com/informacoes-financeiras/planilha-de-resultados/" TargetMode="External"/><Relationship Id="rId2" Type="http://schemas.openxmlformats.org/officeDocument/2006/relationships/hyperlink" Target="https://ri.klabin.com.br/divulgacoes-e-resultados/central-de-resultados/" TargetMode="External"/><Relationship Id="rId1" Type="http://schemas.openxmlformats.org/officeDocument/2006/relationships/hyperlink" Target="https://ri.weg.net/informacoes-financeiras/planilhas/" TargetMode="External"/><Relationship Id="rId6" Type="http://schemas.openxmlformats.org/officeDocument/2006/relationships/hyperlink" Target="https://ri.viavarejo.com.br/informacoes-financeiras/resultados-interativos/" TargetMode="External"/><Relationship Id="rId11" Type="http://schemas.openxmlformats.org/officeDocument/2006/relationships/hyperlink" Target="http://ri.usiminas.com/informacoes-financeiras/serie-historica-de-balancos/" TargetMode="External"/><Relationship Id="rId5" Type="http://schemas.openxmlformats.org/officeDocument/2006/relationships/hyperlink" Target="http://www.gpari.com.br/servicos-aos-investidores/dados-operacionais-e-financeiros/" TargetMode="External"/><Relationship Id="rId10" Type="http://schemas.openxmlformats.org/officeDocument/2006/relationships/hyperlink" Target="https://ri.marfrig.com.br/informacoes-financeiras/planilha-de-resultados/" TargetMode="External"/><Relationship Id="rId4" Type="http://schemas.openxmlformats.org/officeDocument/2006/relationships/hyperlink" Target="https://ri.magazineluiza.com.br/Show/Planilha-de-Resultado?=BbQU+bGLTHjGnrshXKFrLw==" TargetMode="External"/><Relationship Id="rId9" Type="http://schemas.openxmlformats.org/officeDocument/2006/relationships/hyperlink" Target="http://engie.riweb.com.br/PlanilhasDinamicas.aspx?Planilha=PD58mCikmnVW9yilpN8wvQ==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I30"/>
  <sheetViews>
    <sheetView showGridLines="0" workbookViewId="0">
      <selection activeCell="I9" sqref="I9"/>
    </sheetView>
  </sheetViews>
  <sheetFormatPr defaultRowHeight="12.75" x14ac:dyDescent="0.2"/>
  <cols>
    <col min="3" max="3" width="37.5" customWidth="1"/>
    <col min="7" max="7" width="37.33203125" bestFit="1" customWidth="1"/>
    <col min="11" max="11" width="30" bestFit="1" customWidth="1"/>
  </cols>
  <sheetData>
    <row r="4" spans="3:9" x14ac:dyDescent="0.2">
      <c r="D4" s="2" t="s">
        <v>29</v>
      </c>
    </row>
    <row r="5" spans="3:9" x14ac:dyDescent="0.2">
      <c r="D5" t="s">
        <v>14</v>
      </c>
    </row>
    <row r="6" spans="3:9" x14ac:dyDescent="0.2">
      <c r="C6" s="1"/>
      <c r="D6" s="1"/>
      <c r="E6" s="1"/>
      <c r="F6" s="1"/>
      <c r="G6" s="1"/>
      <c r="H6" s="1"/>
      <c r="I6" s="1"/>
    </row>
    <row r="7" spans="3:9" x14ac:dyDescent="0.2">
      <c r="D7" s="1" t="s">
        <v>2</v>
      </c>
      <c r="E7" s="1"/>
      <c r="H7" s="1" t="s">
        <v>2</v>
      </c>
      <c r="I7" s="1"/>
    </row>
    <row r="8" spans="3:9" x14ac:dyDescent="0.2">
      <c r="D8" t="s">
        <v>141</v>
      </c>
      <c r="E8" t="s">
        <v>140</v>
      </c>
      <c r="H8" t="s">
        <v>141</v>
      </c>
      <c r="I8" t="s">
        <v>140</v>
      </c>
    </row>
    <row r="9" spans="3:9" x14ac:dyDescent="0.2">
      <c r="C9" t="s">
        <v>0</v>
      </c>
      <c r="G9" t="s">
        <v>3</v>
      </c>
    </row>
    <row r="11" spans="3:9" x14ac:dyDescent="0.2">
      <c r="C11" t="s">
        <v>1</v>
      </c>
      <c r="G11" t="s">
        <v>4</v>
      </c>
    </row>
    <row r="12" spans="3:9" x14ac:dyDescent="0.2">
      <c r="C12" t="s">
        <v>5</v>
      </c>
      <c r="D12">
        <v>211</v>
      </c>
      <c r="E12">
        <v>185</v>
      </c>
      <c r="G12" t="s">
        <v>24</v>
      </c>
      <c r="H12">
        <v>153</v>
      </c>
      <c r="I12">
        <v>125</v>
      </c>
    </row>
    <row r="13" spans="3:9" x14ac:dyDescent="0.2">
      <c r="C13" t="s">
        <v>6</v>
      </c>
      <c r="D13">
        <v>168</v>
      </c>
      <c r="E13">
        <v>85</v>
      </c>
      <c r="G13" t="s">
        <v>25</v>
      </c>
      <c r="H13">
        <v>135</v>
      </c>
      <c r="I13">
        <v>138</v>
      </c>
    </row>
    <row r="14" spans="3:9" x14ac:dyDescent="0.2">
      <c r="C14" t="s">
        <v>7</v>
      </c>
      <c r="D14">
        <v>42</v>
      </c>
      <c r="E14">
        <v>50</v>
      </c>
      <c r="G14" t="s">
        <v>26</v>
      </c>
      <c r="H14">
        <v>253</v>
      </c>
      <c r="I14">
        <v>272</v>
      </c>
    </row>
    <row r="15" spans="3:9" x14ac:dyDescent="0.2">
      <c r="C15" t="s">
        <v>8</v>
      </c>
      <c r="D15">
        <v>315</v>
      </c>
      <c r="E15">
        <v>233</v>
      </c>
    </row>
    <row r="16" spans="3:9" x14ac:dyDescent="0.2">
      <c r="C16" t="s">
        <v>9</v>
      </c>
      <c r="D16">
        <f>SUM(D12:D15)</f>
        <v>736</v>
      </c>
      <c r="E16">
        <f>SUM(E12:E15)</f>
        <v>553</v>
      </c>
      <c r="G16" t="s">
        <v>15</v>
      </c>
      <c r="H16">
        <f>SUM(H12:H15)</f>
        <v>541</v>
      </c>
      <c r="I16">
        <f>SUM(I12:I15)</f>
        <v>535</v>
      </c>
    </row>
    <row r="18" spans="3:9" x14ac:dyDescent="0.2">
      <c r="G18" t="s">
        <v>16</v>
      </c>
    </row>
    <row r="19" spans="3:9" x14ac:dyDescent="0.2">
      <c r="C19" t="s">
        <v>85</v>
      </c>
      <c r="G19" t="s">
        <v>17</v>
      </c>
      <c r="H19">
        <v>552</v>
      </c>
      <c r="I19">
        <v>493</v>
      </c>
    </row>
    <row r="20" spans="3:9" x14ac:dyDescent="0.2">
      <c r="C20" t="s">
        <v>10</v>
      </c>
      <c r="D20">
        <v>902</v>
      </c>
      <c r="E20">
        <v>833</v>
      </c>
    </row>
    <row r="21" spans="3:9" x14ac:dyDescent="0.2">
      <c r="C21" t="s">
        <v>11</v>
      </c>
      <c r="D21">
        <v>553</v>
      </c>
      <c r="E21">
        <v>490</v>
      </c>
      <c r="G21" t="s">
        <v>27</v>
      </c>
      <c r="H21">
        <f>H19</f>
        <v>552</v>
      </c>
      <c r="I21">
        <f>I19</f>
        <v>493</v>
      </c>
    </row>
    <row r="22" spans="3:9" x14ac:dyDescent="0.2">
      <c r="C22" t="s">
        <v>12</v>
      </c>
      <c r="D22">
        <v>42</v>
      </c>
      <c r="E22">
        <v>35</v>
      </c>
    </row>
    <row r="23" spans="3:9" x14ac:dyDescent="0.2">
      <c r="C23" t="s">
        <v>13</v>
      </c>
      <c r="D23">
        <v>-450</v>
      </c>
      <c r="E23">
        <v>-332</v>
      </c>
      <c r="G23" t="s">
        <v>18</v>
      </c>
    </row>
    <row r="24" spans="3:9" x14ac:dyDescent="0.2">
      <c r="C24" t="s">
        <v>45</v>
      </c>
      <c r="D24">
        <v>150</v>
      </c>
      <c r="E24">
        <v>140</v>
      </c>
      <c r="G24" t="s">
        <v>19</v>
      </c>
      <c r="H24">
        <v>43</v>
      </c>
      <c r="I24">
        <v>28</v>
      </c>
    </row>
    <row r="25" spans="3:9" x14ac:dyDescent="0.2">
      <c r="C25" t="s">
        <v>86</v>
      </c>
      <c r="D25">
        <f>SUM(D20:D24)</f>
        <v>1197</v>
      </c>
      <c r="E25">
        <f>SUM(E20:E24)</f>
        <v>1166</v>
      </c>
      <c r="G25" t="s">
        <v>20</v>
      </c>
      <c r="H25">
        <v>57</v>
      </c>
      <c r="I25">
        <v>43</v>
      </c>
    </row>
    <row r="26" spans="3:9" x14ac:dyDescent="0.2">
      <c r="G26" t="s">
        <v>21</v>
      </c>
      <c r="H26">
        <v>740</v>
      </c>
      <c r="I26">
        <v>620</v>
      </c>
    </row>
    <row r="27" spans="3:9" x14ac:dyDescent="0.2">
      <c r="G27" t="s">
        <v>28</v>
      </c>
      <c r="H27">
        <f>SUM(H24:H26)</f>
        <v>840</v>
      </c>
      <c r="I27">
        <f>SUM(I24:I26)</f>
        <v>691</v>
      </c>
    </row>
    <row r="29" spans="3:9" x14ac:dyDescent="0.2">
      <c r="C29" t="s">
        <v>22</v>
      </c>
      <c r="D29">
        <f>D16+D25</f>
        <v>1933</v>
      </c>
      <c r="E29">
        <f>E16+E25</f>
        <v>1719</v>
      </c>
      <c r="G29" t="s">
        <v>23</v>
      </c>
      <c r="H29">
        <f>H16+H21+H27</f>
        <v>1933</v>
      </c>
      <c r="I29">
        <f>I16+I21+I27</f>
        <v>1719</v>
      </c>
    </row>
    <row r="30" spans="3:9" x14ac:dyDescent="0.2">
      <c r="C30" s="1"/>
      <c r="D30" s="1"/>
      <c r="E30" s="1"/>
      <c r="F30" s="1"/>
      <c r="G30" s="1"/>
      <c r="H30" s="1"/>
      <c r="I30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41"/>
  <sheetViews>
    <sheetView showGridLines="0" workbookViewId="0">
      <selection activeCell="E6" sqref="E6"/>
    </sheetView>
  </sheetViews>
  <sheetFormatPr defaultRowHeight="12.75" x14ac:dyDescent="0.2"/>
  <cols>
    <col min="3" max="3" width="40.83203125" customWidth="1"/>
    <col min="4" max="4" width="11.83203125" customWidth="1"/>
    <col min="5" max="5" width="12.1640625" customWidth="1"/>
  </cols>
  <sheetData>
    <row r="2" spans="3:9" ht="15.75" x14ac:dyDescent="0.25">
      <c r="C2" s="8" t="s">
        <v>47</v>
      </c>
    </row>
    <row r="3" spans="3:9" ht="15.75" x14ac:dyDescent="0.25">
      <c r="C3" s="6" t="s">
        <v>46</v>
      </c>
    </row>
    <row r="4" spans="3:9" x14ac:dyDescent="0.2">
      <c r="C4" s="1"/>
      <c r="D4" s="1"/>
      <c r="E4" s="1"/>
    </row>
    <row r="5" spans="3:9" ht="16.5" thickBot="1" x14ac:dyDescent="0.3">
      <c r="C5" s="3"/>
      <c r="D5" s="4" t="s">
        <v>141</v>
      </c>
      <c r="E5" s="4" t="s">
        <v>140</v>
      </c>
    </row>
    <row r="6" spans="3:9" ht="15.75" x14ac:dyDescent="0.25">
      <c r="C6" s="5" t="s">
        <v>88</v>
      </c>
      <c r="D6" s="27">
        <v>3904.44</v>
      </c>
      <c r="E6" s="27">
        <v>3568.89</v>
      </c>
    </row>
    <row r="7" spans="3:9" ht="15.75" x14ac:dyDescent="0.25">
      <c r="C7" s="5" t="s">
        <v>89</v>
      </c>
      <c r="D7" s="11">
        <f>D6*0.1</f>
        <v>390.44400000000002</v>
      </c>
      <c r="E7" s="11">
        <f>E6*0.1</f>
        <v>356.88900000000001</v>
      </c>
    </row>
    <row r="8" spans="3:9" ht="15.75" x14ac:dyDescent="0.25">
      <c r="C8" s="5" t="s">
        <v>87</v>
      </c>
      <c r="D8" s="9">
        <f>D6-D7</f>
        <v>3513.9960000000001</v>
      </c>
      <c r="E8" s="9">
        <f>E6-E7</f>
        <v>3212.0009999999997</v>
      </c>
      <c r="I8" s="25"/>
    </row>
    <row r="9" spans="3:9" ht="15.75" x14ac:dyDescent="0.25">
      <c r="C9" s="5" t="s">
        <v>30</v>
      </c>
      <c r="D9" s="10">
        <v>-2300</v>
      </c>
      <c r="E9" s="10">
        <v>-2200</v>
      </c>
    </row>
    <row r="10" spans="3:9" ht="15.75" x14ac:dyDescent="0.25">
      <c r="C10" s="5" t="s">
        <v>31</v>
      </c>
      <c r="D10" s="9">
        <f>D8+D9</f>
        <v>1213.9960000000001</v>
      </c>
      <c r="E10" s="9">
        <f>E8+E9</f>
        <v>1012.0009999999997</v>
      </c>
    </row>
    <row r="11" spans="3:9" x14ac:dyDescent="0.2">
      <c r="D11" s="12"/>
      <c r="E11" s="12"/>
    </row>
    <row r="12" spans="3:9" ht="15.75" x14ac:dyDescent="0.25">
      <c r="C12" s="5" t="s">
        <v>32</v>
      </c>
      <c r="D12" s="13"/>
      <c r="E12" s="13"/>
    </row>
    <row r="13" spans="3:9" ht="15.75" x14ac:dyDescent="0.25">
      <c r="C13" s="5" t="s">
        <v>33</v>
      </c>
      <c r="D13" s="14">
        <v>223</v>
      </c>
      <c r="E13" s="9">
        <v>188</v>
      </c>
    </row>
    <row r="14" spans="3:9" ht="15.75" x14ac:dyDescent="0.25">
      <c r="C14" s="5" t="s">
        <v>34</v>
      </c>
      <c r="D14" s="14">
        <v>112</v>
      </c>
      <c r="E14" s="14">
        <v>102</v>
      </c>
    </row>
    <row r="15" spans="3:9" ht="15.75" x14ac:dyDescent="0.25">
      <c r="C15" s="5" t="s">
        <v>35</v>
      </c>
      <c r="D15" s="9">
        <v>31</v>
      </c>
      <c r="E15" s="9">
        <v>27</v>
      </c>
    </row>
    <row r="16" spans="3:9" ht="16.5" customHeight="1" x14ac:dyDescent="0.25">
      <c r="C16" s="5" t="s">
        <v>36</v>
      </c>
      <c r="D16" s="10">
        <v>118</v>
      </c>
      <c r="E16" s="10">
        <v>125</v>
      </c>
    </row>
    <row r="17" spans="3:5" ht="15.75" x14ac:dyDescent="0.25">
      <c r="C17" s="5" t="s">
        <v>37</v>
      </c>
      <c r="D17" s="9">
        <f>SUM(D13:D16)</f>
        <v>484</v>
      </c>
      <c r="E17" s="9">
        <f>SUM(E13:E16)</f>
        <v>442</v>
      </c>
    </row>
    <row r="18" spans="3:5" x14ac:dyDescent="0.2">
      <c r="D18" s="12"/>
      <c r="E18" s="12"/>
    </row>
    <row r="19" spans="3:5" ht="15.75" x14ac:dyDescent="0.25">
      <c r="C19" s="5" t="s">
        <v>38</v>
      </c>
      <c r="D19" s="9">
        <f>D10-D17</f>
        <v>729.99600000000009</v>
      </c>
      <c r="E19" s="9">
        <f>E10-E17</f>
        <v>570.00099999999975</v>
      </c>
    </row>
    <row r="20" spans="3:5" x14ac:dyDescent="0.2">
      <c r="D20" s="12"/>
      <c r="E20" s="12"/>
    </row>
    <row r="21" spans="3:5" ht="16.5" customHeight="1" x14ac:dyDescent="0.25">
      <c r="C21" s="5" t="s">
        <v>39</v>
      </c>
      <c r="D21" s="9">
        <v>-112</v>
      </c>
      <c r="E21" s="9">
        <v>-101</v>
      </c>
    </row>
    <row r="22" spans="3:5" x14ac:dyDescent="0.2">
      <c r="D22" s="12"/>
      <c r="E22" s="12"/>
    </row>
    <row r="23" spans="3:5" ht="15.75" x14ac:dyDescent="0.25">
      <c r="C23" s="5" t="s">
        <v>40</v>
      </c>
      <c r="D23" s="9">
        <f>D19+D21</f>
        <v>617.99600000000009</v>
      </c>
      <c r="E23" s="9">
        <f>E19+E21</f>
        <v>469.00099999999975</v>
      </c>
    </row>
    <row r="24" spans="3:5" ht="15.75" x14ac:dyDescent="0.25">
      <c r="C24" s="5" t="s">
        <v>41</v>
      </c>
      <c r="D24" s="10">
        <v>-223</v>
      </c>
      <c r="E24" s="10">
        <v>-202</v>
      </c>
    </row>
    <row r="25" spans="3:5" ht="15.75" x14ac:dyDescent="0.25">
      <c r="C25" s="5" t="s">
        <v>42</v>
      </c>
      <c r="D25" s="14">
        <f>D23+D24</f>
        <v>394.99600000000009</v>
      </c>
      <c r="E25" s="14">
        <f>E23+E24</f>
        <v>267.00099999999975</v>
      </c>
    </row>
    <row r="26" spans="3:5" x14ac:dyDescent="0.2">
      <c r="D26" s="12"/>
      <c r="E26" s="12"/>
    </row>
    <row r="27" spans="3:5" ht="15.75" x14ac:dyDescent="0.25">
      <c r="C27" s="5" t="s">
        <v>43</v>
      </c>
      <c r="D27" s="9">
        <v>290</v>
      </c>
      <c r="E27" s="9">
        <v>200</v>
      </c>
    </row>
    <row r="28" spans="3:5" ht="15.75" x14ac:dyDescent="0.25">
      <c r="C28" s="7" t="s">
        <v>44</v>
      </c>
      <c r="D28" s="10">
        <f>D25-D27</f>
        <v>104.99600000000009</v>
      </c>
      <c r="E28" s="10">
        <f>E25-E27</f>
        <v>67.000999999999749</v>
      </c>
    </row>
    <row r="29" spans="3:5" ht="15.75" x14ac:dyDescent="0.25">
      <c r="C29" s="5"/>
    </row>
    <row r="30" spans="3:5" ht="15.75" x14ac:dyDescent="0.25">
      <c r="C30" s="5"/>
    </row>
    <row r="31" spans="3:5" ht="15.75" x14ac:dyDescent="0.25">
      <c r="C31" s="5"/>
    </row>
    <row r="32" spans="3:5" ht="15.75" x14ac:dyDescent="0.25">
      <c r="C32" s="5"/>
    </row>
    <row r="33" spans="3:3" ht="15.75" x14ac:dyDescent="0.25">
      <c r="C33" s="5"/>
    </row>
    <row r="34" spans="3:3" ht="15.75" x14ac:dyDescent="0.25">
      <c r="C34" s="5"/>
    </row>
    <row r="35" spans="3:3" ht="15.75" x14ac:dyDescent="0.25">
      <c r="C35" s="5"/>
    </row>
    <row r="36" spans="3:3" ht="15.75" customHeight="1" x14ac:dyDescent="0.25">
      <c r="C36" s="5"/>
    </row>
    <row r="37" spans="3:3" ht="15.75" x14ac:dyDescent="0.25">
      <c r="C37" s="5"/>
    </row>
    <row r="38" spans="3:3" ht="15.75" x14ac:dyDescent="0.25">
      <c r="C38" s="5"/>
    </row>
    <row r="39" spans="3:3" ht="15.75" x14ac:dyDescent="0.25">
      <c r="C39" s="5"/>
    </row>
    <row r="40" spans="3:3" ht="15.75" x14ac:dyDescent="0.25">
      <c r="C40" s="5"/>
    </row>
    <row r="41" spans="3:3" ht="15.75" customHeight="1" x14ac:dyDescent="0.2"/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33"/>
  <sheetViews>
    <sheetView showGridLines="0" workbookViewId="0">
      <selection activeCell="C33" sqref="C33"/>
    </sheetView>
  </sheetViews>
  <sheetFormatPr defaultRowHeight="15.75" x14ac:dyDescent="0.25"/>
  <cols>
    <col min="1" max="1" width="9.33203125" style="15"/>
    <col min="2" max="2" width="38.6640625" style="15" customWidth="1"/>
    <col min="3" max="3" width="19" style="15" bestFit="1" customWidth="1"/>
    <col min="4" max="4" width="10.5" style="15" bestFit="1" customWidth="1"/>
    <col min="5" max="7" width="9.33203125" style="15"/>
    <col min="8" max="8" width="48.1640625" style="15" customWidth="1"/>
    <col min="9" max="10" width="23.6640625" style="15" bestFit="1" customWidth="1"/>
    <col min="11" max="13" width="9.33203125" style="15"/>
    <col min="14" max="14" width="49.5" style="15" bestFit="1" customWidth="1"/>
    <col min="15" max="15" width="12.5" style="15" bestFit="1" customWidth="1"/>
    <col min="16" max="16384" width="9.33203125" style="15"/>
  </cols>
  <sheetData>
    <row r="1" spans="2:14" x14ac:dyDescent="0.25">
      <c r="C1" s="15" t="s">
        <v>91</v>
      </c>
      <c r="D1" s="15">
        <v>360</v>
      </c>
    </row>
    <row r="3" spans="2:14" x14ac:dyDescent="0.25">
      <c r="I3" s="19" t="s">
        <v>83</v>
      </c>
    </row>
    <row r="4" spans="2:14" x14ac:dyDescent="0.25">
      <c r="B4" s="26" t="s">
        <v>84</v>
      </c>
      <c r="C4" s="17" t="s">
        <v>141</v>
      </c>
      <c r="D4" s="17" t="s">
        <v>140</v>
      </c>
      <c r="H4" s="33" t="s">
        <v>71</v>
      </c>
      <c r="I4" s="34">
        <v>40</v>
      </c>
    </row>
    <row r="5" spans="2:14" x14ac:dyDescent="0.25">
      <c r="B5" s="8" t="s">
        <v>48</v>
      </c>
      <c r="H5" s="33" t="s">
        <v>75</v>
      </c>
      <c r="I5" s="34">
        <v>60</v>
      </c>
      <c r="N5" s="8"/>
    </row>
    <row r="6" spans="2:14" x14ac:dyDescent="0.25">
      <c r="B6" s="15" t="s">
        <v>50</v>
      </c>
      <c r="C6" s="18">
        <f>BP!D16/BP!H16</f>
        <v>1.3604436229205175</v>
      </c>
      <c r="D6" s="18">
        <f>BP!E16/BP!I16</f>
        <v>1.0336448598130841</v>
      </c>
    </row>
    <row r="7" spans="2:14" x14ac:dyDescent="0.25">
      <c r="B7" s="15" t="s">
        <v>51</v>
      </c>
      <c r="C7" s="18">
        <f>(BP!D16-BP!D15)/BP!H16</f>
        <v>0.77818853974121993</v>
      </c>
      <c r="D7" s="18">
        <f>(BP!E16-BP!E15)/BP!I16</f>
        <v>0.59813084112149528</v>
      </c>
      <c r="H7" s="17"/>
      <c r="I7" s="24" t="s">
        <v>72</v>
      </c>
      <c r="J7" s="24" t="s">
        <v>73</v>
      </c>
    </row>
    <row r="8" spans="2:14" x14ac:dyDescent="0.25">
      <c r="H8" s="33" t="s">
        <v>81</v>
      </c>
      <c r="I8" s="35">
        <v>38</v>
      </c>
      <c r="J8" s="35">
        <v>45</v>
      </c>
    </row>
    <row r="9" spans="2:14" x14ac:dyDescent="0.25">
      <c r="B9" s="8" t="s">
        <v>49</v>
      </c>
      <c r="H9" s="33" t="s">
        <v>82</v>
      </c>
      <c r="I9" s="35">
        <v>42</v>
      </c>
      <c r="J9" s="35">
        <v>49</v>
      </c>
    </row>
    <row r="10" spans="2:14" x14ac:dyDescent="0.25">
      <c r="B10" s="15" t="s">
        <v>52</v>
      </c>
      <c r="C10" s="18">
        <f>DRE!D8/BP!D29</f>
        <v>1.8178975685463012</v>
      </c>
      <c r="D10" s="18">
        <f>DRE!E8/BP!E29</f>
        <v>1.8685287958115182</v>
      </c>
      <c r="H10" s="33" t="s">
        <v>76</v>
      </c>
      <c r="I10" s="36">
        <v>1</v>
      </c>
      <c r="J10" s="36">
        <v>1</v>
      </c>
    </row>
    <row r="11" spans="2:14" x14ac:dyDescent="0.25">
      <c r="B11" s="15" t="s">
        <v>53</v>
      </c>
      <c r="C11" s="18">
        <f>DRE!D6/BP!D14</f>
        <v>92.962857142857146</v>
      </c>
      <c r="D11" s="18">
        <f>DRE!E6/BP!E14</f>
        <v>71.377799999999993</v>
      </c>
      <c r="H11" s="38" t="s">
        <v>80</v>
      </c>
      <c r="I11" s="39">
        <f>BP!D29</f>
        <v>1933</v>
      </c>
      <c r="J11" s="39">
        <f>BP!E29</f>
        <v>1719</v>
      </c>
    </row>
    <row r="12" spans="2:14" x14ac:dyDescent="0.25">
      <c r="B12" s="15" t="s">
        <v>54</v>
      </c>
      <c r="C12" s="18">
        <f>D1/C11</f>
        <v>3.8725143682576757</v>
      </c>
      <c r="D12" s="18">
        <f>D1/D11</f>
        <v>5.0435849802039296</v>
      </c>
    </row>
    <row r="13" spans="2:14" x14ac:dyDescent="0.25">
      <c r="B13" s="15" t="s">
        <v>55</v>
      </c>
      <c r="C13" s="18">
        <f>-DRE!D9/BP!H12</f>
        <v>15.032679738562091</v>
      </c>
      <c r="D13" s="18">
        <f>-DRE!E9/BP!I12</f>
        <v>17.600000000000001</v>
      </c>
    </row>
    <row r="14" spans="2:14" x14ac:dyDescent="0.25">
      <c r="B14" s="15" t="s">
        <v>56</v>
      </c>
      <c r="C14" s="18">
        <f>D1/C13</f>
        <v>23.947826086956521</v>
      </c>
      <c r="D14" s="18">
        <f>D1/D13</f>
        <v>20.454545454545453</v>
      </c>
    </row>
    <row r="15" spans="2:14" x14ac:dyDescent="0.25">
      <c r="B15" s="15" t="s">
        <v>57</v>
      </c>
      <c r="C15" s="18">
        <f>-DRE!D9/BP!D15</f>
        <v>7.3015873015873014</v>
      </c>
      <c r="D15" s="18">
        <f>-DRE!E9/BP!E15</f>
        <v>9.4420600858369106</v>
      </c>
    </row>
    <row r="16" spans="2:14" x14ac:dyDescent="0.25">
      <c r="H16" s="17"/>
      <c r="I16" s="17"/>
      <c r="J16" s="17"/>
    </row>
    <row r="17" spans="2:10" x14ac:dyDescent="0.25">
      <c r="B17" s="8" t="s">
        <v>58</v>
      </c>
      <c r="H17" s="37" t="s">
        <v>74</v>
      </c>
      <c r="I17" s="37">
        <f>I4*I8</f>
        <v>1520</v>
      </c>
      <c r="J17" s="37">
        <f>J8*I4</f>
        <v>1800</v>
      </c>
    </row>
    <row r="18" spans="2:10" x14ac:dyDescent="0.25">
      <c r="B18" s="15" t="s">
        <v>59</v>
      </c>
      <c r="C18" s="18">
        <f>(BP!H16+BP!H21)/BP!D29</f>
        <v>0.56544231764097264</v>
      </c>
      <c r="D18" s="18">
        <f>(BP!I16+BP!I21)/BP!E29</f>
        <v>0.59802210587550897</v>
      </c>
      <c r="H18" s="37" t="s">
        <v>77</v>
      </c>
      <c r="I18" s="37">
        <f>I5*I9</f>
        <v>2520</v>
      </c>
      <c r="J18" s="37">
        <f>J9*I5</f>
        <v>2940</v>
      </c>
    </row>
    <row r="19" spans="2:10" x14ac:dyDescent="0.25">
      <c r="B19" s="15" t="s">
        <v>60</v>
      </c>
      <c r="C19" s="18">
        <f>DRE!D19/(-DRE!D21)</f>
        <v>6.5178214285714295</v>
      </c>
      <c r="D19" s="18">
        <f>DRE!E19/(-DRE!E21)</f>
        <v>5.6435742574257404</v>
      </c>
      <c r="H19" s="23" t="s">
        <v>78</v>
      </c>
      <c r="I19" s="23">
        <f>I17+I18</f>
        <v>4040</v>
      </c>
      <c r="J19" s="23">
        <f>J17+J18</f>
        <v>4740</v>
      </c>
    </row>
    <row r="20" spans="2:10" x14ac:dyDescent="0.25">
      <c r="B20" s="15" t="s">
        <v>61</v>
      </c>
      <c r="C20" s="18">
        <f>(BP!H16+BP!H21)/BP!H27</f>
        <v>1.3011904761904762</v>
      </c>
      <c r="D20" s="18">
        <f>(BP!I16+BP!I21)/BP!I27</f>
        <v>1.487698986975398</v>
      </c>
    </row>
    <row r="22" spans="2:10" x14ac:dyDescent="0.25">
      <c r="B22" s="8" t="s">
        <v>62</v>
      </c>
    </row>
    <row r="23" spans="2:10" x14ac:dyDescent="0.25">
      <c r="B23" s="15" t="s">
        <v>64</v>
      </c>
      <c r="C23" s="18">
        <f>DRE!D10/DRE!D8</f>
        <v>0.34547449684063386</v>
      </c>
      <c r="D23" s="18">
        <f>DRE!E10/DRE!E8</f>
        <v>0.31506870639205897</v>
      </c>
    </row>
    <row r="24" spans="2:10" x14ac:dyDescent="0.25">
      <c r="B24" s="15" t="s">
        <v>139</v>
      </c>
      <c r="C24" s="18">
        <f>DRE!D19/DRE!D8</f>
        <v>0.20773956487144551</v>
      </c>
      <c r="D24" s="18">
        <f>DRE!E19/DRE!E8</f>
        <v>0.17745978285809991</v>
      </c>
    </row>
    <row r="25" spans="2:10" x14ac:dyDescent="0.25">
      <c r="B25" s="15" t="s">
        <v>63</v>
      </c>
      <c r="C25" s="18">
        <f>DRE!D25/DRE!D8</f>
        <v>0.11240650245475524</v>
      </c>
      <c r="D25" s="18">
        <f>DRE!E25/DRE!E8</f>
        <v>8.3126063783915308E-2</v>
      </c>
    </row>
    <row r="26" spans="2:10" x14ac:dyDescent="0.25">
      <c r="B26" s="15" t="s">
        <v>65</v>
      </c>
      <c r="C26" s="18">
        <f>DRE!D25/BP!D29</f>
        <v>0.20434350750129338</v>
      </c>
      <c r="D26" s="18">
        <f>DRE!E25/BP!E29</f>
        <v>0.15532344386271074</v>
      </c>
    </row>
    <row r="27" spans="2:10" x14ac:dyDescent="0.25">
      <c r="B27" s="15" t="s">
        <v>66</v>
      </c>
      <c r="C27" s="18">
        <f>DRE!D19/BP!D29</f>
        <v>0.37764924987066739</v>
      </c>
      <c r="D27" s="18">
        <f>DRE!E19/BP!E29</f>
        <v>0.33158871436881893</v>
      </c>
    </row>
    <row r="28" spans="2:10" x14ac:dyDescent="0.25">
      <c r="B28" s="15" t="s">
        <v>67</v>
      </c>
      <c r="C28" s="18">
        <f>DRE!D25/BP!H27</f>
        <v>0.47023333333333345</v>
      </c>
      <c r="D28" s="18">
        <f>DRE!E25/BP!I27</f>
        <v>0.38639797395079556</v>
      </c>
    </row>
    <row r="30" spans="2:10" x14ac:dyDescent="0.25">
      <c r="B30" s="8" t="s">
        <v>68</v>
      </c>
    </row>
    <row r="31" spans="2:10" x14ac:dyDescent="0.25">
      <c r="B31" s="15" t="s">
        <v>69</v>
      </c>
      <c r="C31" s="21">
        <f>I19/BP!H27</f>
        <v>4.8095238095238093</v>
      </c>
      <c r="D31" s="21">
        <f>J19/BP!I27</f>
        <v>6.8596237337192472</v>
      </c>
    </row>
    <row r="32" spans="2:10" x14ac:dyDescent="0.25">
      <c r="B32" s="15" t="s">
        <v>70</v>
      </c>
      <c r="C32" s="21">
        <f>(I19+BP!H21*Índices!I10+BP!H16)/Índices!I11</f>
        <v>2.6554578375581999</v>
      </c>
      <c r="D32" s="21">
        <f>(J19+BP!I21*Índices!J10+BP!I16)/Índices!J11</f>
        <v>3.3554392088423501</v>
      </c>
    </row>
    <row r="33" spans="2:4" x14ac:dyDescent="0.25">
      <c r="B33" s="17" t="s">
        <v>79</v>
      </c>
      <c r="C33" s="22">
        <f>I19/DRE!D25</f>
        <v>10.227951675460002</v>
      </c>
      <c r="D33" s="22">
        <f>J19/DRE!E25</f>
        <v>17.752742499091781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  <ignoredErrors>
    <ignoredError sqref="C13:D13 C15:D15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8"/>
  <sheetViews>
    <sheetView workbookViewId="0">
      <selection activeCell="B10" sqref="B10"/>
    </sheetView>
  </sheetViews>
  <sheetFormatPr defaultRowHeight="12.75" x14ac:dyDescent="0.2"/>
  <cols>
    <col min="1" max="1" width="49.5" bestFit="1" customWidth="1"/>
    <col min="2" max="2" width="12.5" bestFit="1" customWidth="1"/>
    <col min="4" max="4" width="39.33203125" bestFit="1" customWidth="1"/>
    <col min="5" max="5" width="16" bestFit="1" customWidth="1"/>
    <col min="7" max="7" width="39.33203125" bestFit="1" customWidth="1"/>
    <col min="8" max="8" width="12.5" bestFit="1" customWidth="1"/>
  </cols>
  <sheetData>
    <row r="1" spans="1:8" ht="15.75" x14ac:dyDescent="0.25">
      <c r="A1" s="8" t="s">
        <v>138</v>
      </c>
    </row>
    <row r="3" spans="1:8" ht="15.75" x14ac:dyDescent="0.25">
      <c r="A3" s="31" t="s">
        <v>131</v>
      </c>
      <c r="B3" s="32"/>
      <c r="D3" s="31" t="s">
        <v>130</v>
      </c>
      <c r="E3" s="32"/>
      <c r="G3" s="31" t="s">
        <v>135</v>
      </c>
      <c r="H3" s="31"/>
    </row>
    <row r="4" spans="1:8" ht="15.75" x14ac:dyDescent="0.25">
      <c r="A4" s="15" t="s">
        <v>132</v>
      </c>
      <c r="B4" s="15">
        <f>BP!D16</f>
        <v>736</v>
      </c>
      <c r="D4" s="15" t="s">
        <v>128</v>
      </c>
      <c r="E4" s="15">
        <f>BP!D12</f>
        <v>211</v>
      </c>
      <c r="G4" s="16" t="str">
        <f>DRE!C8</f>
        <v>Receita operacional líquida</v>
      </c>
      <c r="H4" s="28">
        <f>DRE!D8</f>
        <v>3513.9960000000001</v>
      </c>
    </row>
    <row r="5" spans="1:8" ht="15.75" x14ac:dyDescent="0.25">
      <c r="A5" s="15" t="s">
        <v>96</v>
      </c>
      <c r="B5" s="15">
        <f>BP!H16</f>
        <v>541</v>
      </c>
      <c r="D5" s="15" t="s">
        <v>129</v>
      </c>
      <c r="E5" s="15">
        <f>BP!D13</f>
        <v>168</v>
      </c>
      <c r="G5" s="15" t="str">
        <f>BP!C29</f>
        <v>Total dos ativos</v>
      </c>
      <c r="H5" s="28">
        <f>BP!D29</f>
        <v>1933</v>
      </c>
    </row>
    <row r="6" spans="1:8" ht="15.75" x14ac:dyDescent="0.25">
      <c r="A6" s="29" t="s">
        <v>133</v>
      </c>
      <c r="B6" s="18">
        <f>B4/B5</f>
        <v>1.3604436229205175</v>
      </c>
      <c r="D6" s="15" t="s">
        <v>126</v>
      </c>
      <c r="E6" s="15">
        <f>BP!D14</f>
        <v>42</v>
      </c>
      <c r="G6" s="29" t="s">
        <v>136</v>
      </c>
      <c r="H6" s="18">
        <f>H4/H5</f>
        <v>1.8178975685463012</v>
      </c>
    </row>
    <row r="7" spans="1:8" ht="15.75" x14ac:dyDescent="0.25">
      <c r="A7" s="15"/>
      <c r="B7" s="15"/>
      <c r="D7" s="15" t="s">
        <v>127</v>
      </c>
      <c r="E7" s="15">
        <f>SUM(E4:E6)</f>
        <v>421</v>
      </c>
    </row>
    <row r="8" spans="1:8" ht="15.75" x14ac:dyDescent="0.25">
      <c r="D8" s="15" t="s">
        <v>96</v>
      </c>
      <c r="E8" s="15">
        <f>BP!H16</f>
        <v>541</v>
      </c>
      <c r="G8" s="31" t="s">
        <v>102</v>
      </c>
      <c r="H8" s="31"/>
    </row>
    <row r="9" spans="1:8" ht="15.75" x14ac:dyDescent="0.25">
      <c r="A9" s="31" t="s">
        <v>137</v>
      </c>
      <c r="B9" s="31"/>
      <c r="D9" s="29" t="s">
        <v>134</v>
      </c>
      <c r="E9" s="18">
        <f>E7/E8</f>
        <v>0.77818853974121993</v>
      </c>
      <c r="G9" s="15" t="s">
        <v>103</v>
      </c>
      <c r="H9" s="18">
        <f>E14</f>
        <v>15.032679738562091</v>
      </c>
    </row>
    <row r="10" spans="1:8" ht="15.75" x14ac:dyDescent="0.25">
      <c r="A10" s="15" t="str">
        <f>DRE!C6</f>
        <v>Receita operacional bruta</v>
      </c>
      <c r="B10" s="28">
        <f>DRE!D6</f>
        <v>3904.44</v>
      </c>
      <c r="G10" s="15" t="s">
        <v>104</v>
      </c>
      <c r="H10" s="15">
        <f>Índices!D1</f>
        <v>360</v>
      </c>
    </row>
    <row r="11" spans="1:8" ht="15.75" x14ac:dyDescent="0.25">
      <c r="A11" s="15" t="s">
        <v>126</v>
      </c>
      <c r="B11" s="15">
        <f>BP!D14</f>
        <v>42</v>
      </c>
      <c r="D11" s="31" t="s">
        <v>105</v>
      </c>
      <c r="E11" s="31"/>
      <c r="G11" s="29" t="s">
        <v>92</v>
      </c>
      <c r="H11" s="18">
        <f>H10/H9</f>
        <v>23.947826086956521</v>
      </c>
    </row>
    <row r="12" spans="1:8" ht="15.75" x14ac:dyDescent="0.25">
      <c r="A12" s="29" t="s">
        <v>125</v>
      </c>
      <c r="B12" s="18">
        <f>B10/B11</f>
        <v>92.962857142857146</v>
      </c>
      <c r="D12" s="15" t="s">
        <v>30</v>
      </c>
      <c r="E12" s="28">
        <f>-DRE!D9</f>
        <v>2300</v>
      </c>
    </row>
    <row r="13" spans="1:8" ht="15.75" x14ac:dyDescent="0.25">
      <c r="A13" s="15"/>
      <c r="B13" s="15"/>
      <c r="D13" s="15" t="s">
        <v>106</v>
      </c>
      <c r="E13" s="15">
        <f>BP!H12</f>
        <v>153</v>
      </c>
      <c r="G13" s="31" t="s">
        <v>93</v>
      </c>
      <c r="H13" s="31"/>
    </row>
    <row r="14" spans="1:8" ht="15.75" x14ac:dyDescent="0.25">
      <c r="A14" s="31" t="s">
        <v>90</v>
      </c>
      <c r="B14" s="31"/>
      <c r="D14" s="29" t="s">
        <v>103</v>
      </c>
      <c r="E14" s="18">
        <f>E12/E13</f>
        <v>15.032679738562091</v>
      </c>
      <c r="G14" s="15" t="s">
        <v>38</v>
      </c>
      <c r="H14" s="16">
        <f>DRE!D19</f>
        <v>729.99600000000009</v>
      </c>
    </row>
    <row r="15" spans="1:8" ht="15.75" x14ac:dyDescent="0.25">
      <c r="A15" s="6" t="s">
        <v>125</v>
      </c>
      <c r="B15" s="18">
        <f>B12</f>
        <v>92.962857142857146</v>
      </c>
      <c r="G15" s="15" t="s">
        <v>39</v>
      </c>
      <c r="H15" s="16">
        <f>-DRE!D21</f>
        <v>112</v>
      </c>
    </row>
    <row r="16" spans="1:8" ht="15.75" x14ac:dyDescent="0.25">
      <c r="A16" s="6" t="s">
        <v>104</v>
      </c>
      <c r="B16" s="15">
        <f>Índices!D1</f>
        <v>360</v>
      </c>
      <c r="D16" s="31" t="s">
        <v>95</v>
      </c>
      <c r="E16" s="31"/>
      <c r="G16" s="29" t="s">
        <v>94</v>
      </c>
      <c r="H16" s="18">
        <f>H14/H15</f>
        <v>6.5178214285714295</v>
      </c>
    </row>
    <row r="17" spans="1:8" ht="15.75" x14ac:dyDescent="0.25">
      <c r="A17" s="29" t="s">
        <v>124</v>
      </c>
      <c r="B17" s="18">
        <f>B16/B15</f>
        <v>3.8725143682576757</v>
      </c>
      <c r="D17" s="15" t="s">
        <v>96</v>
      </c>
      <c r="E17" s="15">
        <f>BP!H16</f>
        <v>541</v>
      </c>
    </row>
    <row r="18" spans="1:8" ht="15.75" x14ac:dyDescent="0.25">
      <c r="D18" s="15" t="s">
        <v>97</v>
      </c>
      <c r="E18" s="15">
        <f>BP!H19</f>
        <v>552</v>
      </c>
      <c r="G18" s="31" t="s">
        <v>108</v>
      </c>
      <c r="H18" s="31"/>
    </row>
    <row r="19" spans="1:8" ht="15.75" x14ac:dyDescent="0.25">
      <c r="A19" s="31" t="s">
        <v>99</v>
      </c>
      <c r="B19" s="31"/>
      <c r="D19" s="15" t="str">
        <f>BP!C29</f>
        <v>Total dos ativos</v>
      </c>
      <c r="E19" s="28">
        <f>BP!D29</f>
        <v>1933</v>
      </c>
      <c r="G19" s="15" t="s">
        <v>96</v>
      </c>
      <c r="H19" s="15">
        <f>BP!H16</f>
        <v>541</v>
      </c>
    </row>
    <row r="20" spans="1:8" ht="15.75" x14ac:dyDescent="0.25">
      <c r="A20" s="15" t="s">
        <v>30</v>
      </c>
      <c r="B20" s="28">
        <f>-DRE!D9</f>
        <v>2300</v>
      </c>
      <c r="D20" s="29" t="s">
        <v>98</v>
      </c>
      <c r="E20" s="18">
        <f>(E17+E18)/E19</f>
        <v>0.56544231764097264</v>
      </c>
      <c r="G20" s="15" t="s">
        <v>97</v>
      </c>
      <c r="H20" s="15">
        <f>BP!H21</f>
        <v>552</v>
      </c>
    </row>
    <row r="21" spans="1:8" ht="15.75" x14ac:dyDescent="0.25">
      <c r="A21" s="15" t="s">
        <v>100</v>
      </c>
      <c r="B21" s="15">
        <f>BP!D15</f>
        <v>315</v>
      </c>
      <c r="D21" s="15"/>
      <c r="E21" s="15"/>
      <c r="G21" s="15" t="s">
        <v>3</v>
      </c>
      <c r="H21" s="15">
        <f>H19+H20</f>
        <v>1093</v>
      </c>
    </row>
    <row r="22" spans="1:8" ht="15.75" x14ac:dyDescent="0.25">
      <c r="A22" s="29" t="s">
        <v>101</v>
      </c>
      <c r="B22" s="18">
        <f>B20/B21</f>
        <v>7.3015873015873014</v>
      </c>
      <c r="D22" s="31" t="s">
        <v>111</v>
      </c>
      <c r="E22" s="31"/>
      <c r="G22" s="15" t="str">
        <f>BP!G23</f>
        <v>Patrimônio líquido</v>
      </c>
      <c r="H22" s="15">
        <f>BP!H27</f>
        <v>840</v>
      </c>
    </row>
    <row r="23" spans="1:8" ht="15.75" x14ac:dyDescent="0.25">
      <c r="D23" s="15" t="str">
        <f>DRE!C19</f>
        <v>Resultado operacional</v>
      </c>
      <c r="E23" s="16">
        <f>DRE!D19</f>
        <v>729.99600000000009</v>
      </c>
      <c r="G23" s="29" t="s">
        <v>107</v>
      </c>
      <c r="H23" s="18">
        <f>H21/H22</f>
        <v>1.3011904761904762</v>
      </c>
    </row>
    <row r="24" spans="1:8" ht="15.75" x14ac:dyDescent="0.25">
      <c r="A24" s="31" t="s">
        <v>109</v>
      </c>
      <c r="B24" s="31"/>
      <c r="D24" s="15" t="str">
        <f>DRE!C8</f>
        <v>Receita operacional líquida</v>
      </c>
      <c r="E24" s="16">
        <f>DRE!D8</f>
        <v>3513.9960000000001</v>
      </c>
    </row>
    <row r="25" spans="1:8" ht="15.75" x14ac:dyDescent="0.25">
      <c r="A25" s="15" t="s">
        <v>42</v>
      </c>
      <c r="B25" s="16">
        <f>DRE!D25</f>
        <v>394.99600000000009</v>
      </c>
      <c r="D25" s="29" t="s">
        <v>112</v>
      </c>
      <c r="E25" s="18">
        <f>E23/E24</f>
        <v>0.20773956487144551</v>
      </c>
      <c r="G25" s="31" t="s">
        <v>113</v>
      </c>
      <c r="H25" s="31"/>
    </row>
    <row r="26" spans="1:8" ht="15.75" x14ac:dyDescent="0.25">
      <c r="A26" s="15" t="s">
        <v>87</v>
      </c>
      <c r="B26" s="16">
        <f>DRE!D8</f>
        <v>3513.9960000000001</v>
      </c>
      <c r="G26" s="15" t="str">
        <f>DRE!C25</f>
        <v>Lucro líquido após imposto de renda</v>
      </c>
      <c r="H26" s="16">
        <f>DRE!D25</f>
        <v>394.99600000000009</v>
      </c>
    </row>
    <row r="27" spans="1:8" ht="15.75" x14ac:dyDescent="0.25">
      <c r="A27" s="29" t="s">
        <v>110</v>
      </c>
      <c r="B27" s="18">
        <f>B25/B26</f>
        <v>0.11240650245475524</v>
      </c>
      <c r="D27" s="31" t="s">
        <v>116</v>
      </c>
      <c r="E27" s="31"/>
      <c r="G27" s="15" t="str">
        <f>BP!C29</f>
        <v>Total dos ativos</v>
      </c>
      <c r="H27" s="15">
        <f>BP!D29</f>
        <v>1933</v>
      </c>
    </row>
    <row r="28" spans="1:8" ht="15.75" x14ac:dyDescent="0.25">
      <c r="A28" s="15"/>
      <c r="B28" s="15"/>
      <c r="D28" s="15" t="str">
        <f>DRE!C25</f>
        <v>Lucro líquido após imposto de renda</v>
      </c>
      <c r="E28" s="16">
        <f>DRE!D25</f>
        <v>394.99600000000009</v>
      </c>
      <c r="G28" s="29" t="s">
        <v>114</v>
      </c>
      <c r="H28" s="18">
        <f>H26/H27</f>
        <v>0.20434350750129338</v>
      </c>
    </row>
    <row r="29" spans="1:8" ht="15.75" x14ac:dyDescent="0.25">
      <c r="A29" s="31" t="s">
        <v>115</v>
      </c>
      <c r="B29" s="31"/>
      <c r="D29" s="15" t="str">
        <f>BP!G23</f>
        <v>Patrimônio líquido</v>
      </c>
      <c r="E29" s="15">
        <f>BP!H27</f>
        <v>840</v>
      </c>
    </row>
    <row r="30" spans="1:8" ht="15.75" x14ac:dyDescent="0.25">
      <c r="A30" s="15" t="str">
        <f>DRE!C19</f>
        <v>Resultado operacional</v>
      </c>
      <c r="B30" s="16">
        <f>DRE!D19</f>
        <v>729.99600000000009</v>
      </c>
      <c r="D30" s="29" t="s">
        <v>116</v>
      </c>
      <c r="E30" s="18">
        <f>E28/E29</f>
        <v>0.47023333333333345</v>
      </c>
      <c r="G30" s="31" t="str">
        <f>Índices!B31</f>
        <v>Preço/Valor patrimonial</v>
      </c>
      <c r="H30" s="31"/>
    </row>
    <row r="31" spans="1:8" ht="15.75" x14ac:dyDescent="0.25">
      <c r="A31" s="15" t="str">
        <f>BP!C29</f>
        <v>Total dos ativos</v>
      </c>
      <c r="B31" s="15">
        <f>BP!D29</f>
        <v>1933</v>
      </c>
      <c r="G31" s="30" t="str">
        <f>Índices!H19</f>
        <v>Valor total das ações</v>
      </c>
      <c r="H31" s="30">
        <f>Índices!I19</f>
        <v>4040</v>
      </c>
    </row>
    <row r="32" spans="1:8" ht="15.75" x14ac:dyDescent="0.25">
      <c r="A32" s="29" t="s">
        <v>115</v>
      </c>
      <c r="B32" s="18">
        <f>B30/B31</f>
        <v>0.37764924987066739</v>
      </c>
      <c r="D32" s="31" t="str">
        <f>Índices!B33</f>
        <v xml:space="preserve">Índice Preço/Lucro </v>
      </c>
      <c r="E32" s="31"/>
      <c r="G32" s="15" t="s">
        <v>117</v>
      </c>
      <c r="H32" s="15">
        <f>BP!H27</f>
        <v>840</v>
      </c>
    </row>
    <row r="33" spans="1:8" ht="15.75" x14ac:dyDescent="0.25">
      <c r="A33" s="15"/>
      <c r="B33" s="15"/>
      <c r="D33" s="30" t="str">
        <f>Índices!H19</f>
        <v>Valor total das ações</v>
      </c>
      <c r="E33" s="30">
        <f>Índices!I19</f>
        <v>4040</v>
      </c>
      <c r="G33" s="29" t="s">
        <v>118</v>
      </c>
      <c r="H33" s="21">
        <f>H31/H32</f>
        <v>4.8095238095238093</v>
      </c>
    </row>
    <row r="34" spans="1:8" ht="15.75" x14ac:dyDescent="0.25">
      <c r="A34" s="31" t="str">
        <f>Índices!B32</f>
        <v>Q de Tobin</v>
      </c>
      <c r="B34" s="31"/>
      <c r="D34" s="15" t="s">
        <v>122</v>
      </c>
      <c r="E34" s="16">
        <f>DRE!D25</f>
        <v>394.99600000000009</v>
      </c>
    </row>
    <row r="35" spans="1:8" ht="15.75" x14ac:dyDescent="0.25">
      <c r="A35" s="30" t="s">
        <v>78</v>
      </c>
      <c r="B35" s="30">
        <f>Índices!I19</f>
        <v>4040</v>
      </c>
      <c r="D35" s="29" t="s">
        <v>123</v>
      </c>
      <c r="E35" s="21">
        <f>E33/E34</f>
        <v>10.227951675460002</v>
      </c>
    </row>
    <row r="36" spans="1:8" ht="15.75" x14ac:dyDescent="0.25">
      <c r="A36" s="15" t="str">
        <f>Índices!H10</f>
        <v>Valor de mercado da dívida de longo prazo</v>
      </c>
      <c r="B36" s="20">
        <f>Índices!I10</f>
        <v>1</v>
      </c>
    </row>
    <row r="37" spans="1:8" ht="15.75" x14ac:dyDescent="0.25">
      <c r="A37" s="15" t="s">
        <v>97</v>
      </c>
      <c r="B37" s="15">
        <f>BP!H21</f>
        <v>552</v>
      </c>
    </row>
    <row r="38" spans="1:8" ht="15.75" x14ac:dyDescent="0.25">
      <c r="A38" s="15" t="s">
        <v>121</v>
      </c>
      <c r="B38" s="15">
        <f>B36*B37</f>
        <v>552</v>
      </c>
    </row>
    <row r="39" spans="1:8" ht="15.75" x14ac:dyDescent="0.25">
      <c r="A39" s="15" t="s">
        <v>119</v>
      </c>
      <c r="B39" s="15">
        <f>BP!H16</f>
        <v>541</v>
      </c>
    </row>
    <row r="40" spans="1:8" ht="15.75" x14ac:dyDescent="0.25">
      <c r="A40" s="15" t="s">
        <v>120</v>
      </c>
      <c r="B40" s="30">
        <f>B35+B38+B39</f>
        <v>5133</v>
      </c>
    </row>
    <row r="41" spans="1:8" ht="15.75" x14ac:dyDescent="0.25">
      <c r="A41" s="15" t="str">
        <f>Índices!H11</f>
        <v>Valor de reposição dos ativos (milhões de R$)</v>
      </c>
      <c r="B41" s="30">
        <f>Índices!I11</f>
        <v>1933</v>
      </c>
    </row>
    <row r="42" spans="1:8" ht="15.75" x14ac:dyDescent="0.25">
      <c r="A42" s="29" t="str">
        <f>Índices!B32</f>
        <v>Q de Tobin</v>
      </c>
      <c r="B42" s="21">
        <f>B40/B41</f>
        <v>2.6554578375581999</v>
      </c>
    </row>
    <row r="43" spans="1:8" ht="15.75" x14ac:dyDescent="0.25">
      <c r="A43" s="15"/>
      <c r="B43" s="15"/>
    </row>
    <row r="48" spans="1:8" ht="15.75" x14ac:dyDescent="0.25">
      <c r="A48" s="15"/>
      <c r="B48" s="15"/>
    </row>
    <row r="53" spans="1:2" ht="15.75" x14ac:dyDescent="0.25">
      <c r="A53" s="15"/>
      <c r="B53" s="15"/>
    </row>
    <row r="63" spans="1:2" ht="15.75" x14ac:dyDescent="0.25">
      <c r="A63" s="15"/>
      <c r="B63" s="15"/>
    </row>
    <row r="108" spans="1:2" ht="15.75" x14ac:dyDescent="0.25">
      <c r="A108" s="15"/>
      <c r="B108" s="15"/>
    </row>
  </sheetData>
  <pageMargins left="0.25" right="0.25" top="0.75" bottom="0.75" header="0.3" footer="0.3"/>
  <pageSetup paperSize="9" scale="73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B15"/>
  <sheetViews>
    <sheetView workbookViewId="0">
      <selection activeCell="B19" sqref="B19"/>
    </sheetView>
  </sheetViews>
  <sheetFormatPr defaultRowHeight="12.75" x14ac:dyDescent="0.2"/>
  <cols>
    <col min="1" max="1" width="15.1640625" bestFit="1" customWidth="1"/>
    <col min="2" max="2" width="95.6640625" bestFit="1" customWidth="1"/>
  </cols>
  <sheetData>
    <row r="4" spans="1:2" x14ac:dyDescent="0.2">
      <c r="A4" s="40" t="s">
        <v>142</v>
      </c>
      <c r="B4" s="40" t="s">
        <v>143</v>
      </c>
    </row>
    <row r="5" spans="1:2" x14ac:dyDescent="0.2">
      <c r="A5" t="s">
        <v>144</v>
      </c>
      <c r="B5" s="41" t="s">
        <v>145</v>
      </c>
    </row>
    <row r="6" spans="1:2" x14ac:dyDescent="0.2">
      <c r="A6" t="s">
        <v>146</v>
      </c>
      <c r="B6" s="41" t="s">
        <v>147</v>
      </c>
    </row>
    <row r="7" spans="1:2" x14ac:dyDescent="0.2">
      <c r="A7" t="s">
        <v>148</v>
      </c>
      <c r="B7" s="41" t="s">
        <v>149</v>
      </c>
    </row>
    <row r="8" spans="1:2" x14ac:dyDescent="0.2">
      <c r="A8" t="s">
        <v>150</v>
      </c>
      <c r="B8" s="41" t="s">
        <v>151</v>
      </c>
    </row>
    <row r="9" spans="1:2" x14ac:dyDescent="0.2">
      <c r="A9" t="s">
        <v>152</v>
      </c>
      <c r="B9" s="41" t="s">
        <v>153</v>
      </c>
    </row>
    <row r="10" spans="1:2" x14ac:dyDescent="0.2">
      <c r="A10" t="s">
        <v>154</v>
      </c>
      <c r="B10" s="41" t="s">
        <v>155</v>
      </c>
    </row>
    <row r="11" spans="1:2" x14ac:dyDescent="0.2">
      <c r="A11" t="s">
        <v>156</v>
      </c>
      <c r="B11" s="41" t="s">
        <v>157</v>
      </c>
    </row>
    <row r="12" spans="1:2" x14ac:dyDescent="0.2">
      <c r="A12" t="s">
        <v>158</v>
      </c>
      <c r="B12" s="41" t="s">
        <v>159</v>
      </c>
    </row>
    <row r="13" spans="1:2" x14ac:dyDescent="0.2">
      <c r="A13" t="s">
        <v>160</v>
      </c>
      <c r="B13" s="41" t="s">
        <v>161</v>
      </c>
    </row>
    <row r="14" spans="1:2" x14ac:dyDescent="0.2">
      <c r="A14" t="s">
        <v>162</v>
      </c>
      <c r="B14" s="41" t="s">
        <v>163</v>
      </c>
    </row>
    <row r="15" spans="1:2" x14ac:dyDescent="0.2">
      <c r="A15" t="s">
        <v>164</v>
      </c>
      <c r="B15" s="41" t="s">
        <v>165</v>
      </c>
    </row>
  </sheetData>
  <hyperlinks>
    <hyperlink ref="B5" r:id="rId1"/>
    <hyperlink ref="B6" r:id="rId2"/>
    <hyperlink ref="B7" r:id="rId3"/>
    <hyperlink ref="B8" r:id="rId4"/>
    <hyperlink ref="B9" r:id="rId5"/>
    <hyperlink ref="B10" r:id="rId6"/>
    <hyperlink ref="B11" r:id="rId7"/>
    <hyperlink ref="B12" r:id="rId8"/>
    <hyperlink ref="B13" r:id="rId9"/>
    <hyperlink ref="B14" r:id="rId10"/>
    <hyperlink ref="B15" r:id="rId11"/>
  </hyperlink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50"/>
  <sheetViews>
    <sheetView workbookViewId="0">
      <selection activeCell="E10" sqref="E10"/>
    </sheetView>
  </sheetViews>
  <sheetFormatPr defaultRowHeight="12.75" x14ac:dyDescent="0.2"/>
  <cols>
    <col min="2" max="2" width="15.1640625" bestFit="1" customWidth="1"/>
    <col min="3" max="3" width="14.83203125" customWidth="1"/>
  </cols>
  <sheetData>
    <row r="4" spans="1:3" x14ac:dyDescent="0.2">
      <c r="A4" s="40" t="s">
        <v>166</v>
      </c>
      <c r="B4" s="40" t="s">
        <v>142</v>
      </c>
      <c r="C4" s="40" t="s">
        <v>167</v>
      </c>
    </row>
    <row r="5" spans="1:3" x14ac:dyDescent="0.2">
      <c r="A5" s="42">
        <v>1</v>
      </c>
      <c r="B5" t="s">
        <v>144</v>
      </c>
      <c r="C5" t="s">
        <v>168</v>
      </c>
    </row>
    <row r="6" spans="1:3" x14ac:dyDescent="0.2">
      <c r="A6" s="43">
        <v>2</v>
      </c>
      <c r="B6" t="s">
        <v>144</v>
      </c>
      <c r="C6" t="s">
        <v>169</v>
      </c>
    </row>
    <row r="7" spans="1:3" x14ac:dyDescent="0.2">
      <c r="A7" s="42">
        <v>3</v>
      </c>
      <c r="B7" t="s">
        <v>144</v>
      </c>
      <c r="C7" t="s">
        <v>170</v>
      </c>
    </row>
    <row r="8" spans="1:3" x14ac:dyDescent="0.2">
      <c r="A8" s="43">
        <v>4</v>
      </c>
      <c r="B8" t="s">
        <v>144</v>
      </c>
      <c r="C8" t="s">
        <v>171</v>
      </c>
    </row>
    <row r="9" spans="1:3" x14ac:dyDescent="0.2">
      <c r="A9" s="42">
        <v>5</v>
      </c>
      <c r="B9" t="s">
        <v>144</v>
      </c>
      <c r="C9" t="s">
        <v>172</v>
      </c>
    </row>
    <row r="10" spans="1:3" x14ac:dyDescent="0.2">
      <c r="A10" s="43">
        <v>6</v>
      </c>
      <c r="B10" t="s">
        <v>144</v>
      </c>
      <c r="C10" t="s">
        <v>173</v>
      </c>
    </row>
    <row r="11" spans="1:3" x14ac:dyDescent="0.2">
      <c r="A11" s="42">
        <v>7</v>
      </c>
      <c r="B11" t="s">
        <v>146</v>
      </c>
      <c r="C11" t="s">
        <v>174</v>
      </c>
    </row>
    <row r="12" spans="1:3" x14ac:dyDescent="0.2">
      <c r="A12" s="43">
        <v>8</v>
      </c>
      <c r="B12" t="s">
        <v>146</v>
      </c>
      <c r="C12" t="s">
        <v>175</v>
      </c>
    </row>
    <row r="13" spans="1:3" x14ac:dyDescent="0.2">
      <c r="A13" s="42">
        <v>9</v>
      </c>
      <c r="B13" t="s">
        <v>146</v>
      </c>
      <c r="C13" t="s">
        <v>176</v>
      </c>
    </row>
    <row r="14" spans="1:3" x14ac:dyDescent="0.2">
      <c r="A14" s="43">
        <v>10</v>
      </c>
      <c r="B14" t="s">
        <v>146</v>
      </c>
      <c r="C14" t="s">
        <v>177</v>
      </c>
    </row>
    <row r="15" spans="1:3" x14ac:dyDescent="0.2">
      <c r="A15" s="42">
        <v>11</v>
      </c>
      <c r="B15" t="s">
        <v>146</v>
      </c>
      <c r="C15" t="s">
        <v>178</v>
      </c>
    </row>
    <row r="16" spans="1:3" x14ac:dyDescent="0.2">
      <c r="A16" s="43">
        <v>12</v>
      </c>
      <c r="B16" t="s">
        <v>146</v>
      </c>
      <c r="C16" t="s">
        <v>173</v>
      </c>
    </row>
    <row r="17" spans="1:3" x14ac:dyDescent="0.2">
      <c r="A17" s="42">
        <v>13</v>
      </c>
      <c r="B17" t="s">
        <v>148</v>
      </c>
      <c r="C17" t="s">
        <v>171</v>
      </c>
    </row>
    <row r="18" spans="1:3" x14ac:dyDescent="0.2">
      <c r="A18" s="43">
        <v>14</v>
      </c>
      <c r="B18" t="s">
        <v>148</v>
      </c>
      <c r="C18" t="s">
        <v>177</v>
      </c>
    </row>
    <row r="19" spans="1:3" x14ac:dyDescent="0.2">
      <c r="A19" s="42">
        <v>15</v>
      </c>
      <c r="B19" t="s">
        <v>148</v>
      </c>
      <c r="C19" t="s">
        <v>172</v>
      </c>
    </row>
    <row r="20" spans="1:3" x14ac:dyDescent="0.2">
      <c r="A20" s="43">
        <v>16</v>
      </c>
      <c r="B20" t="s">
        <v>148</v>
      </c>
      <c r="C20" t="s">
        <v>178</v>
      </c>
    </row>
    <row r="21" spans="1:3" x14ac:dyDescent="0.2">
      <c r="A21" s="42">
        <v>17</v>
      </c>
      <c r="B21" t="s">
        <v>148</v>
      </c>
      <c r="C21" t="s">
        <v>173</v>
      </c>
    </row>
    <row r="22" spans="1:3" x14ac:dyDescent="0.2">
      <c r="A22" s="42">
        <v>18</v>
      </c>
      <c r="B22" t="s">
        <v>150</v>
      </c>
      <c r="C22" t="s">
        <v>176</v>
      </c>
    </row>
    <row r="23" spans="1:3" x14ac:dyDescent="0.2">
      <c r="A23" s="43">
        <v>19</v>
      </c>
      <c r="B23" t="s">
        <v>150</v>
      </c>
      <c r="C23" t="s">
        <v>171</v>
      </c>
    </row>
    <row r="24" spans="1:3" x14ac:dyDescent="0.2">
      <c r="A24" s="42">
        <v>20</v>
      </c>
      <c r="B24" t="s">
        <v>150</v>
      </c>
      <c r="C24" t="s">
        <v>177</v>
      </c>
    </row>
    <row r="25" spans="1:3" x14ac:dyDescent="0.2">
      <c r="A25" s="43">
        <v>21</v>
      </c>
      <c r="B25" t="s">
        <v>150</v>
      </c>
      <c r="C25" t="s">
        <v>172</v>
      </c>
    </row>
    <row r="26" spans="1:3" x14ac:dyDescent="0.2">
      <c r="A26" s="42">
        <v>22</v>
      </c>
      <c r="B26" t="s">
        <v>150</v>
      </c>
      <c r="C26" t="s">
        <v>178</v>
      </c>
    </row>
    <row r="27" spans="1:3" x14ac:dyDescent="0.2">
      <c r="A27" s="43">
        <v>23</v>
      </c>
      <c r="B27" t="s">
        <v>150</v>
      </c>
      <c r="C27" t="s">
        <v>173</v>
      </c>
    </row>
    <row r="28" spans="1:3" x14ac:dyDescent="0.2">
      <c r="A28" s="42">
        <v>24</v>
      </c>
      <c r="B28" t="s">
        <v>152</v>
      </c>
      <c r="C28" t="s">
        <v>171</v>
      </c>
    </row>
    <row r="29" spans="1:3" x14ac:dyDescent="0.2">
      <c r="A29" s="43">
        <v>25</v>
      </c>
      <c r="B29" t="s">
        <v>152</v>
      </c>
      <c r="C29" t="s">
        <v>177</v>
      </c>
    </row>
    <row r="30" spans="1:3" x14ac:dyDescent="0.2">
      <c r="A30" s="42">
        <v>26</v>
      </c>
      <c r="B30" t="s">
        <v>152</v>
      </c>
      <c r="C30" t="s">
        <v>172</v>
      </c>
    </row>
    <row r="31" spans="1:3" x14ac:dyDescent="0.2">
      <c r="A31" s="43">
        <v>27</v>
      </c>
      <c r="B31" t="s">
        <v>152</v>
      </c>
      <c r="C31" t="s">
        <v>178</v>
      </c>
    </row>
    <row r="32" spans="1:3" x14ac:dyDescent="0.2">
      <c r="A32" s="42">
        <v>28</v>
      </c>
      <c r="B32" t="s">
        <v>152</v>
      </c>
      <c r="C32" t="s">
        <v>173</v>
      </c>
    </row>
    <row r="33" spans="1:3" x14ac:dyDescent="0.2">
      <c r="A33" s="43">
        <v>29</v>
      </c>
      <c r="B33" t="s">
        <v>154</v>
      </c>
      <c r="C33" t="s">
        <v>169</v>
      </c>
    </row>
    <row r="34" spans="1:3" x14ac:dyDescent="0.2">
      <c r="A34" s="42">
        <v>30</v>
      </c>
      <c r="B34" t="s">
        <v>154</v>
      </c>
      <c r="C34" t="s">
        <v>170</v>
      </c>
    </row>
    <row r="35" spans="1:3" x14ac:dyDescent="0.2">
      <c r="A35" s="43">
        <v>31</v>
      </c>
      <c r="B35" t="s">
        <v>154</v>
      </c>
      <c r="C35" t="s">
        <v>171</v>
      </c>
    </row>
    <row r="36" spans="1:3" x14ac:dyDescent="0.2">
      <c r="A36" s="42">
        <v>32</v>
      </c>
      <c r="B36" t="s">
        <v>154</v>
      </c>
      <c r="C36" t="s">
        <v>172</v>
      </c>
    </row>
    <row r="37" spans="1:3" x14ac:dyDescent="0.2">
      <c r="A37" s="43">
        <v>33</v>
      </c>
      <c r="B37" t="s">
        <v>154</v>
      </c>
      <c r="C37" t="s">
        <v>173</v>
      </c>
    </row>
    <row r="38" spans="1:3" x14ac:dyDescent="0.2">
      <c r="A38" s="42">
        <v>34</v>
      </c>
      <c r="B38" t="s">
        <v>156</v>
      </c>
      <c r="C38" t="s">
        <v>168</v>
      </c>
    </row>
    <row r="39" spans="1:3" x14ac:dyDescent="0.2">
      <c r="A39" s="42">
        <v>35</v>
      </c>
      <c r="B39" t="s">
        <v>156</v>
      </c>
      <c r="C39" t="s">
        <v>169</v>
      </c>
    </row>
    <row r="40" spans="1:3" x14ac:dyDescent="0.2">
      <c r="A40" s="43">
        <v>36</v>
      </c>
      <c r="B40" t="s">
        <v>156</v>
      </c>
      <c r="C40" t="s">
        <v>170</v>
      </c>
    </row>
    <row r="41" spans="1:3" x14ac:dyDescent="0.2">
      <c r="A41" s="42">
        <v>37</v>
      </c>
      <c r="B41" t="s">
        <v>156</v>
      </c>
      <c r="C41" t="s">
        <v>171</v>
      </c>
    </row>
    <row r="42" spans="1:3" x14ac:dyDescent="0.2">
      <c r="A42" s="43">
        <v>38</v>
      </c>
      <c r="B42" t="s">
        <v>156</v>
      </c>
      <c r="C42" t="s">
        <v>172</v>
      </c>
    </row>
    <row r="43" spans="1:3" x14ac:dyDescent="0.2">
      <c r="A43" s="42">
        <v>39</v>
      </c>
      <c r="B43" t="s">
        <v>156</v>
      </c>
      <c r="C43" t="s">
        <v>173</v>
      </c>
    </row>
    <row r="44" spans="1:3" x14ac:dyDescent="0.2">
      <c r="A44" s="43">
        <v>40</v>
      </c>
      <c r="B44" t="s">
        <v>179</v>
      </c>
      <c r="C44" t="s">
        <v>174</v>
      </c>
    </row>
    <row r="45" spans="1:3" x14ac:dyDescent="0.2">
      <c r="A45" s="42">
        <v>41</v>
      </c>
      <c r="B45" t="s">
        <v>179</v>
      </c>
      <c r="C45" t="s">
        <v>175</v>
      </c>
    </row>
    <row r="46" spans="1:3" x14ac:dyDescent="0.2">
      <c r="A46" s="43">
        <v>42</v>
      </c>
      <c r="B46" t="s">
        <v>179</v>
      </c>
      <c r="C46" t="s">
        <v>176</v>
      </c>
    </row>
    <row r="47" spans="1:3" x14ac:dyDescent="0.2">
      <c r="A47" s="42">
        <v>43</v>
      </c>
      <c r="B47" t="s">
        <v>179</v>
      </c>
      <c r="C47" t="s">
        <v>177</v>
      </c>
    </row>
    <row r="48" spans="1:3" x14ac:dyDescent="0.2">
      <c r="A48" s="43">
        <v>44</v>
      </c>
      <c r="B48" t="s">
        <v>179</v>
      </c>
      <c r="C48" t="s">
        <v>178</v>
      </c>
    </row>
    <row r="49" spans="1:3" x14ac:dyDescent="0.2">
      <c r="A49" s="42">
        <v>45</v>
      </c>
      <c r="B49" t="s">
        <v>160</v>
      </c>
      <c r="C49" t="s">
        <v>178</v>
      </c>
    </row>
    <row r="50" spans="1:3" x14ac:dyDescent="0.2">
      <c r="A50" s="43">
        <v>46</v>
      </c>
      <c r="B50" t="s">
        <v>160</v>
      </c>
      <c r="C50" t="s">
        <v>173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D1" sqref="D1"/>
    </sheetView>
  </sheetViews>
  <sheetFormatPr defaultRowHeight="12.75" x14ac:dyDescent="0.2"/>
  <sheetData>
    <row r="1" spans="1:1" x14ac:dyDescent="0.2">
      <c r="A1" s="44" t="s">
        <v>180</v>
      </c>
    </row>
    <row r="3" spans="1:1" x14ac:dyDescent="0.2">
      <c r="A3" t="s">
        <v>181</v>
      </c>
    </row>
    <row r="4" spans="1:1" x14ac:dyDescent="0.2">
      <c r="A4" t="s">
        <v>182</v>
      </c>
    </row>
    <row r="5" spans="1:1" x14ac:dyDescent="0.2">
      <c r="A5" t="s">
        <v>183</v>
      </c>
    </row>
    <row r="6" spans="1:1" x14ac:dyDescent="0.2">
      <c r="A6" t="s">
        <v>184</v>
      </c>
    </row>
    <row r="7" spans="1:1" x14ac:dyDescent="0.2">
      <c r="A7" t="s">
        <v>185</v>
      </c>
    </row>
    <row r="9" spans="1:1" x14ac:dyDescent="0.2">
      <c r="A9" t="s">
        <v>186</v>
      </c>
    </row>
    <row r="10" spans="1:1" x14ac:dyDescent="0.2">
      <c r="A10" t="s">
        <v>187</v>
      </c>
    </row>
    <row r="36" spans="1:9" x14ac:dyDescent="0.2">
      <c r="A36" t="s">
        <v>188</v>
      </c>
      <c r="D36">
        <v>174.619</v>
      </c>
      <c r="E36" t="s">
        <v>189</v>
      </c>
      <c r="F36" t="s">
        <v>190</v>
      </c>
      <c r="I36">
        <v>83.24</v>
      </c>
    </row>
    <row r="37" spans="1:9" x14ac:dyDescent="0.2">
      <c r="F37" t="s">
        <v>191</v>
      </c>
      <c r="I37">
        <v>70</v>
      </c>
    </row>
    <row r="38" spans="1:9" x14ac:dyDescent="0.2">
      <c r="F38" t="s">
        <v>192</v>
      </c>
      <c r="I38" s="45">
        <f>I37/I36*D36</f>
        <v>146.84442575684767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BP</vt:lpstr>
      <vt:lpstr>DRE</vt:lpstr>
      <vt:lpstr>Índices</vt:lpstr>
      <vt:lpstr>IlustraCalc</vt:lpstr>
      <vt:lpstr>LinkDados</vt:lpstr>
      <vt:lpstr>AlunosEmpresa</vt:lpstr>
      <vt:lpstr>Instruções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geris.afranc</dc:creator>
  <cp:lastModifiedBy>Lenovo</cp:lastModifiedBy>
  <cp:lastPrinted>2018-04-17T18:47:29Z</cp:lastPrinted>
  <dcterms:created xsi:type="dcterms:W3CDTF">2013-10-30T14:24:09Z</dcterms:created>
  <dcterms:modified xsi:type="dcterms:W3CDTF">2021-02-21T23:34:46Z</dcterms:modified>
</cp:coreProperties>
</file>